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063733\OneDrive - ku.ac.ae\Desktop\Desktop - DELL\PhD\Research\Dissertation\Paper 7 - Machine Learning Prediction\"/>
    </mc:Choice>
  </mc:AlternateContent>
  <xr:revisionPtr revIDLastSave="0" documentId="13_ncr:1_{378229BC-8B85-45E3-8C2D-F0D7F9D19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2" i="1"/>
</calcChain>
</file>

<file path=xl/sharedStrings.xml><?xml version="1.0" encoding="utf-8"?>
<sst xmlns="http://schemas.openxmlformats.org/spreadsheetml/2006/main" count="11" uniqueCount="11">
  <si>
    <t>System Type ID</t>
  </si>
  <si>
    <t>Binder Type ID</t>
  </si>
  <si>
    <t>Binder content (kg/m³)</t>
  </si>
  <si>
    <t>water-to-cement ratio</t>
  </si>
  <si>
    <t>Graphene type ID</t>
  </si>
  <si>
    <t>Graphene particle size (micro-meter)</t>
  </si>
  <si>
    <t>Graphene thickness (nano-meter)</t>
  </si>
  <si>
    <t>Graphene Concentration (%)</t>
  </si>
  <si>
    <t>Dispersion method type ID</t>
  </si>
  <si>
    <t>CS_28d_MPa</t>
  </si>
  <si>
    <t>Young's Modulus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</si>
</sst>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7.0351248617185391E-2"/>
                  <c:y val="0.197512983362370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E = 5452.4* SQRT fc</a:t>
                    </a:r>
                    <a:br>
                      <a:rPr lang="en-US" baseline="0"/>
                    </a:br>
                    <a:r>
                      <a:rPr lang="en-US" baseline="0"/>
                      <a:t>R² = 0.847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Sheet1!$K$2:$K$128</c:f>
              <c:numCache>
                <c:formatCode>General</c:formatCode>
                <c:ptCount val="127"/>
                <c:pt idx="0">
                  <c:v>4.358898943540674</c:v>
                </c:pt>
                <c:pt idx="1">
                  <c:v>4.6904157598234297</c:v>
                </c:pt>
                <c:pt idx="2">
                  <c:v>4.7434164902525691</c:v>
                </c:pt>
                <c:pt idx="3">
                  <c:v>5.196152422706632</c:v>
                </c:pt>
                <c:pt idx="4">
                  <c:v>4.4721359549995796</c:v>
                </c:pt>
                <c:pt idx="5">
                  <c:v>4.2426406871192848</c:v>
                </c:pt>
                <c:pt idx="6">
                  <c:v>1.4832396974191326</c:v>
                </c:pt>
                <c:pt idx="7">
                  <c:v>2</c:v>
                </c:pt>
                <c:pt idx="8">
                  <c:v>2.1908902300206643</c:v>
                </c:pt>
                <c:pt idx="9">
                  <c:v>2.4494897427831779</c:v>
                </c:pt>
                <c:pt idx="10">
                  <c:v>6.7082039324993694</c:v>
                </c:pt>
                <c:pt idx="11">
                  <c:v>6.6332495807107996</c:v>
                </c:pt>
                <c:pt idx="12">
                  <c:v>6.7082039324993694</c:v>
                </c:pt>
                <c:pt idx="13">
                  <c:v>6.5574385243020004</c:v>
                </c:pt>
                <c:pt idx="14">
                  <c:v>6.6332495807107996</c:v>
                </c:pt>
                <c:pt idx="15">
                  <c:v>6.6332495807107996</c:v>
                </c:pt>
                <c:pt idx="16">
                  <c:v>6.9267597042195712</c:v>
                </c:pt>
                <c:pt idx="17">
                  <c:v>7.6124897372673024</c:v>
                </c:pt>
                <c:pt idx="18">
                  <c:v>7.8396428490078556</c:v>
                </c:pt>
                <c:pt idx="19">
                  <c:v>7.7213988369983841</c:v>
                </c:pt>
                <c:pt idx="20">
                  <c:v>6.9641941385920596</c:v>
                </c:pt>
                <c:pt idx="21">
                  <c:v>7.8166488983451217</c:v>
                </c:pt>
                <c:pt idx="22">
                  <c:v>7.9056941504209481</c:v>
                </c:pt>
                <c:pt idx="23">
                  <c:v>7.6419892698171203</c:v>
                </c:pt>
                <c:pt idx="24">
                  <c:v>6.7823299831252681</c:v>
                </c:pt>
                <c:pt idx="25">
                  <c:v>7.3959448348402388</c:v>
                </c:pt>
                <c:pt idx="26">
                  <c:v>7.3484692283495345</c:v>
                </c:pt>
                <c:pt idx="27">
                  <c:v>7.3824115301167001</c:v>
                </c:pt>
                <c:pt idx="28">
                  <c:v>6.2689712074629913</c:v>
                </c:pt>
                <c:pt idx="29">
                  <c:v>6.7749538743817288</c:v>
                </c:pt>
                <c:pt idx="30">
                  <c:v>6.6181568431097189</c:v>
                </c:pt>
                <c:pt idx="31">
                  <c:v>5.8906705900092566</c:v>
                </c:pt>
                <c:pt idx="32">
                  <c:v>5.8480766068853782</c:v>
                </c:pt>
                <c:pt idx="33">
                  <c:v>6.6932802122726045</c:v>
                </c:pt>
                <c:pt idx="34">
                  <c:v>6.6181568431097189</c:v>
                </c:pt>
                <c:pt idx="35">
                  <c:v>6.5726706900619938</c:v>
                </c:pt>
                <c:pt idx="36">
                  <c:v>7.1133676975114959</c:v>
                </c:pt>
                <c:pt idx="37">
                  <c:v>7.8192071209298453</c:v>
                </c:pt>
                <c:pt idx="38">
                  <c:v>7.406753674856482</c:v>
                </c:pt>
                <c:pt idx="39">
                  <c:v>7.4431176263713583</c:v>
                </c:pt>
                <c:pt idx="40">
                  <c:v>6.9957129729570804</c:v>
                </c:pt>
                <c:pt idx="41">
                  <c:v>7.0384657419071095</c:v>
                </c:pt>
                <c:pt idx="42">
                  <c:v>4.7434164902525691</c:v>
                </c:pt>
                <c:pt idx="43">
                  <c:v>5.6568542494923806</c:v>
                </c:pt>
                <c:pt idx="44">
                  <c:v>5.196152422706632</c:v>
                </c:pt>
                <c:pt idx="45">
                  <c:v>4.2308391602612359</c:v>
                </c:pt>
                <c:pt idx="46">
                  <c:v>4.3817804600413286</c:v>
                </c:pt>
                <c:pt idx="47">
                  <c:v>4.483302354291979</c:v>
                </c:pt>
                <c:pt idx="48">
                  <c:v>7.0710678118654755</c:v>
                </c:pt>
                <c:pt idx="49">
                  <c:v>7.4833147735478827</c:v>
                </c:pt>
                <c:pt idx="50">
                  <c:v>7.5498344352707498</c:v>
                </c:pt>
                <c:pt idx="51">
                  <c:v>7.416198487095663</c:v>
                </c:pt>
                <c:pt idx="52">
                  <c:v>7.2801098892805181</c:v>
                </c:pt>
                <c:pt idx="53">
                  <c:v>7.2111025509279782</c:v>
                </c:pt>
                <c:pt idx="54">
                  <c:v>7.1414284285428504</c:v>
                </c:pt>
                <c:pt idx="55">
                  <c:v>6.324555320336759</c:v>
                </c:pt>
                <c:pt idx="56">
                  <c:v>6.5574385243020004</c:v>
                </c:pt>
                <c:pt idx="57">
                  <c:v>6.8556546004010439</c:v>
                </c:pt>
                <c:pt idx="58">
                  <c:v>6.4031242374328485</c:v>
                </c:pt>
                <c:pt idx="59">
                  <c:v>6.164414002968976</c:v>
                </c:pt>
                <c:pt idx="60">
                  <c:v>6.2369864518050697</c:v>
                </c:pt>
                <c:pt idx="61">
                  <c:v>6.2928530890209098</c:v>
                </c:pt>
                <c:pt idx="62">
                  <c:v>6.4575537163851759</c:v>
                </c:pt>
                <c:pt idx="63">
                  <c:v>6.640783086353597</c:v>
                </c:pt>
                <c:pt idx="64">
                  <c:v>6.3324560795950253</c:v>
                </c:pt>
                <c:pt idx="65">
                  <c:v>5.9160797830996161</c:v>
                </c:pt>
                <c:pt idx="66">
                  <c:v>6.9282032302755088</c:v>
                </c:pt>
                <c:pt idx="67">
                  <c:v>6.5574385243020004</c:v>
                </c:pt>
                <c:pt idx="68">
                  <c:v>5.3851648071345037</c:v>
                </c:pt>
                <c:pt idx="69">
                  <c:v>6.1237243569579451</c:v>
                </c:pt>
                <c:pt idx="70">
                  <c:v>6.4031242374328485</c:v>
                </c:pt>
                <c:pt idx="71">
                  <c:v>6</c:v>
                </c:pt>
                <c:pt idx="72">
                  <c:v>5.8309518948453007</c:v>
                </c:pt>
                <c:pt idx="73">
                  <c:v>5.7879184513951127</c:v>
                </c:pt>
                <c:pt idx="74">
                  <c:v>6.6332495807107996</c:v>
                </c:pt>
                <c:pt idx="75">
                  <c:v>6.5574385243020004</c:v>
                </c:pt>
                <c:pt idx="76">
                  <c:v>6.9282032302755088</c:v>
                </c:pt>
                <c:pt idx="77">
                  <c:v>6.6332495807107996</c:v>
                </c:pt>
                <c:pt idx="78">
                  <c:v>7.0710678118654755</c:v>
                </c:pt>
                <c:pt idx="79">
                  <c:v>6.9282032302755088</c:v>
                </c:pt>
                <c:pt idx="80">
                  <c:v>7.2801098892805181</c:v>
                </c:pt>
                <c:pt idx="81">
                  <c:v>7.2111025509279782</c:v>
                </c:pt>
                <c:pt idx="82">
                  <c:v>6.2872887638472594</c:v>
                </c:pt>
                <c:pt idx="83">
                  <c:v>7.1400280111495356</c:v>
                </c:pt>
                <c:pt idx="84">
                  <c:v>7.3321211119293439</c:v>
                </c:pt>
                <c:pt idx="85">
                  <c:v>7.4979997332621986</c:v>
                </c:pt>
                <c:pt idx="86">
                  <c:v>7.2166474210674858</c:v>
                </c:pt>
                <c:pt idx="87">
                  <c:v>5.3851648071345037</c:v>
                </c:pt>
                <c:pt idx="88">
                  <c:v>5.4772255750516612</c:v>
                </c:pt>
                <c:pt idx="89">
                  <c:v>5.4772255750516612</c:v>
                </c:pt>
                <c:pt idx="90">
                  <c:v>5.5677643628300215</c:v>
                </c:pt>
                <c:pt idx="91">
                  <c:v>5.6568542494923806</c:v>
                </c:pt>
                <c:pt idx="92">
                  <c:v>7.2801098892805181</c:v>
                </c:pt>
                <c:pt idx="93">
                  <c:v>6.6332495807107996</c:v>
                </c:pt>
                <c:pt idx="94">
                  <c:v>10.099504938362077</c:v>
                </c:pt>
                <c:pt idx="95">
                  <c:v>11.74734012447073</c:v>
                </c:pt>
                <c:pt idx="96">
                  <c:v>5.8223706512038547</c:v>
                </c:pt>
                <c:pt idx="97">
                  <c:v>6.4614239916600429</c:v>
                </c:pt>
                <c:pt idx="98">
                  <c:v>7.0887234393789127</c:v>
                </c:pt>
                <c:pt idx="99">
                  <c:v>7.3041084329300592</c:v>
                </c:pt>
                <c:pt idx="100">
                  <c:v>6.0827625302982193</c:v>
                </c:pt>
                <c:pt idx="101">
                  <c:v>6.324555320336759</c:v>
                </c:pt>
                <c:pt idx="102">
                  <c:v>6.5574385243020004</c:v>
                </c:pt>
                <c:pt idx="103">
                  <c:v>4.7434164902525691</c:v>
                </c:pt>
                <c:pt idx="104">
                  <c:v>4.6904157598234297</c:v>
                </c:pt>
                <c:pt idx="105">
                  <c:v>4.6904157598234297</c:v>
                </c:pt>
                <c:pt idx="106">
                  <c:v>6.4807406984078604</c:v>
                </c:pt>
                <c:pt idx="107">
                  <c:v>6.7082039324993694</c:v>
                </c:pt>
                <c:pt idx="108">
                  <c:v>6.7453687816160208</c:v>
                </c:pt>
                <c:pt idx="109">
                  <c:v>6.9282032302755088</c:v>
                </c:pt>
                <c:pt idx="110">
                  <c:v>7.1414284285428504</c:v>
                </c:pt>
                <c:pt idx="111">
                  <c:v>7.3484692283495345</c:v>
                </c:pt>
                <c:pt idx="112">
                  <c:v>5.3665631459994954</c:v>
                </c:pt>
                <c:pt idx="113">
                  <c:v>6.2369864518050697</c:v>
                </c:pt>
                <c:pt idx="114">
                  <c:v>6.3403469936589438</c:v>
                </c:pt>
                <c:pt idx="115">
                  <c:v>6.6257075093909785</c:v>
                </c:pt>
                <c:pt idx="116">
                  <c:v>6.3482280992415507</c:v>
                </c:pt>
                <c:pt idx="117">
                  <c:v>5.5226805085936306</c:v>
                </c:pt>
                <c:pt idx="118">
                  <c:v>6.2849025449882676</c:v>
                </c:pt>
                <c:pt idx="119">
                  <c:v>6.6708320320631671</c:v>
                </c:pt>
                <c:pt idx="120">
                  <c:v>6.8702256149270671</c:v>
                </c:pt>
                <c:pt idx="121">
                  <c:v>6.6105975524153644</c:v>
                </c:pt>
                <c:pt idx="122">
                  <c:v>5.8991524815010496</c:v>
                </c:pt>
                <c:pt idx="123">
                  <c:v>6.640783086353597</c:v>
                </c:pt>
                <c:pt idx="124">
                  <c:v>6.8920243760451108</c:v>
                </c:pt>
                <c:pt idx="125">
                  <c:v>7.0992957397195395</c:v>
                </c:pt>
                <c:pt idx="126">
                  <c:v>6.8410525505948279</c:v>
                </c:pt>
              </c:numCache>
            </c:numRef>
          </c:xVal>
          <c:yVal>
            <c:numRef>
              <c:f>Sheet1!$L$2:$L$128</c:f>
              <c:numCache>
                <c:formatCode>General</c:formatCode>
                <c:ptCount val="127"/>
                <c:pt idx="10">
                  <c:v>30000</c:v>
                </c:pt>
                <c:pt idx="11">
                  <c:v>29000</c:v>
                </c:pt>
                <c:pt idx="12">
                  <c:v>30000</c:v>
                </c:pt>
                <c:pt idx="13">
                  <c:v>31000</c:v>
                </c:pt>
                <c:pt idx="14">
                  <c:v>29000</c:v>
                </c:pt>
                <c:pt idx="15">
                  <c:v>29000</c:v>
                </c:pt>
                <c:pt idx="16">
                  <c:v>35000</c:v>
                </c:pt>
                <c:pt idx="17">
                  <c:v>40000</c:v>
                </c:pt>
                <c:pt idx="18">
                  <c:v>43000</c:v>
                </c:pt>
                <c:pt idx="19">
                  <c:v>42000</c:v>
                </c:pt>
                <c:pt idx="24">
                  <c:v>23000</c:v>
                </c:pt>
                <c:pt idx="25">
                  <c:v>28100</c:v>
                </c:pt>
                <c:pt idx="26">
                  <c:v>26900</c:v>
                </c:pt>
                <c:pt idx="27">
                  <c:v>25500</c:v>
                </c:pt>
                <c:pt idx="36">
                  <c:v>37450</c:v>
                </c:pt>
                <c:pt idx="37">
                  <c:v>45580</c:v>
                </c:pt>
                <c:pt idx="38">
                  <c:v>38150</c:v>
                </c:pt>
                <c:pt idx="39">
                  <c:v>38750</c:v>
                </c:pt>
                <c:pt idx="40">
                  <c:v>33850</c:v>
                </c:pt>
                <c:pt idx="41">
                  <c:v>32450.000000000004</c:v>
                </c:pt>
                <c:pt idx="82">
                  <c:v>27830</c:v>
                </c:pt>
                <c:pt idx="83">
                  <c:v>29870</c:v>
                </c:pt>
                <c:pt idx="84">
                  <c:v>30440</c:v>
                </c:pt>
                <c:pt idx="85">
                  <c:v>33390</c:v>
                </c:pt>
                <c:pt idx="86">
                  <c:v>31760</c:v>
                </c:pt>
                <c:pt idx="92">
                  <c:v>3480</c:v>
                </c:pt>
                <c:pt idx="93">
                  <c:v>3700</c:v>
                </c:pt>
                <c:pt idx="112">
                  <c:v>40120</c:v>
                </c:pt>
                <c:pt idx="113">
                  <c:v>51040</c:v>
                </c:pt>
                <c:pt idx="114">
                  <c:v>53840</c:v>
                </c:pt>
                <c:pt idx="115">
                  <c:v>56740</c:v>
                </c:pt>
                <c:pt idx="116">
                  <c:v>52460</c:v>
                </c:pt>
                <c:pt idx="117">
                  <c:v>42630</c:v>
                </c:pt>
                <c:pt idx="118">
                  <c:v>54920</c:v>
                </c:pt>
                <c:pt idx="119">
                  <c:v>56740</c:v>
                </c:pt>
                <c:pt idx="120">
                  <c:v>58740</c:v>
                </c:pt>
                <c:pt idx="121">
                  <c:v>56310</c:v>
                </c:pt>
                <c:pt idx="122">
                  <c:v>46530</c:v>
                </c:pt>
                <c:pt idx="123">
                  <c:v>59370</c:v>
                </c:pt>
                <c:pt idx="124">
                  <c:v>61620</c:v>
                </c:pt>
                <c:pt idx="125">
                  <c:v>64269.999999999993</c:v>
                </c:pt>
                <c:pt idx="126">
                  <c:v>62610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4-469A-9FC6-D673A7390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136799"/>
        <c:axId val="721138719"/>
      </c:scatterChart>
      <c:valAx>
        <c:axId val="72113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138719"/>
        <c:crosses val="autoZero"/>
        <c:crossBetween val="midCat"/>
      </c:valAx>
      <c:valAx>
        <c:axId val="72113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13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5882753487020576"/>
                  <c:y val="0.148708120545906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Sheet1!$K$12:$K$21</c:f>
              <c:numCache>
                <c:formatCode>General</c:formatCode>
                <c:ptCount val="10"/>
                <c:pt idx="0">
                  <c:v>6.7082039324993694</c:v>
                </c:pt>
                <c:pt idx="1">
                  <c:v>6.6332495807107996</c:v>
                </c:pt>
                <c:pt idx="2">
                  <c:v>6.7082039324993694</c:v>
                </c:pt>
                <c:pt idx="3">
                  <c:v>6.5574385243020004</c:v>
                </c:pt>
                <c:pt idx="4">
                  <c:v>6.6332495807107996</c:v>
                </c:pt>
                <c:pt idx="5">
                  <c:v>6.6332495807107996</c:v>
                </c:pt>
                <c:pt idx="6">
                  <c:v>6.9267597042195712</c:v>
                </c:pt>
                <c:pt idx="7">
                  <c:v>7.6124897372673024</c:v>
                </c:pt>
                <c:pt idx="8">
                  <c:v>7.8396428490078556</c:v>
                </c:pt>
                <c:pt idx="9">
                  <c:v>7.7213988369983841</c:v>
                </c:pt>
              </c:numCache>
            </c:numRef>
          </c:xVal>
          <c:yVal>
            <c:numRef>
              <c:f>Sheet1!$L$12:$L$21</c:f>
              <c:numCache>
                <c:formatCode>General</c:formatCode>
                <c:ptCount val="10"/>
                <c:pt idx="0">
                  <c:v>30000</c:v>
                </c:pt>
                <c:pt idx="1">
                  <c:v>29000</c:v>
                </c:pt>
                <c:pt idx="2">
                  <c:v>30000</c:v>
                </c:pt>
                <c:pt idx="3">
                  <c:v>31000</c:v>
                </c:pt>
                <c:pt idx="4">
                  <c:v>29000</c:v>
                </c:pt>
                <c:pt idx="5">
                  <c:v>29000</c:v>
                </c:pt>
                <c:pt idx="6">
                  <c:v>35000</c:v>
                </c:pt>
                <c:pt idx="7">
                  <c:v>40000</c:v>
                </c:pt>
                <c:pt idx="8">
                  <c:v>43000</c:v>
                </c:pt>
                <c:pt idx="9">
                  <c:v>42000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D5-4C8E-B65E-4603D35CBBE1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9.4687711832698279E-2"/>
                  <c:y val="0.106863365151102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Sheet1!$K$26:$K$29</c:f>
              <c:numCache>
                <c:formatCode>General</c:formatCode>
                <c:ptCount val="4"/>
                <c:pt idx="0">
                  <c:v>6.7823299831252681</c:v>
                </c:pt>
                <c:pt idx="1">
                  <c:v>7.3959448348402388</c:v>
                </c:pt>
                <c:pt idx="2">
                  <c:v>7.3484692283495345</c:v>
                </c:pt>
                <c:pt idx="3">
                  <c:v>7.3824115301167001</c:v>
                </c:pt>
              </c:numCache>
            </c:numRef>
          </c:xVal>
          <c:yVal>
            <c:numRef>
              <c:f>Sheet1!$L$26:$L$29</c:f>
              <c:numCache>
                <c:formatCode>General</c:formatCode>
                <c:ptCount val="4"/>
                <c:pt idx="0">
                  <c:v>23000</c:v>
                </c:pt>
                <c:pt idx="1">
                  <c:v>28100</c:v>
                </c:pt>
                <c:pt idx="2">
                  <c:v>26900</c:v>
                </c:pt>
                <c:pt idx="3">
                  <c:v>25500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D5-4C8E-B65E-4603D35CBBE1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Sheet1!$K$38:$K$43</c:f>
              <c:numCache>
                <c:formatCode>General</c:formatCode>
                <c:ptCount val="6"/>
                <c:pt idx="0">
                  <c:v>7.1133676975114959</c:v>
                </c:pt>
                <c:pt idx="1">
                  <c:v>7.8192071209298453</c:v>
                </c:pt>
                <c:pt idx="2">
                  <c:v>7.406753674856482</c:v>
                </c:pt>
                <c:pt idx="3">
                  <c:v>7.4431176263713583</c:v>
                </c:pt>
                <c:pt idx="4">
                  <c:v>6.9957129729570804</c:v>
                </c:pt>
                <c:pt idx="5">
                  <c:v>7.0384657419071095</c:v>
                </c:pt>
              </c:numCache>
            </c:numRef>
          </c:xVal>
          <c:yVal>
            <c:numRef>
              <c:f>Sheet1!$L$38:$L$43</c:f>
              <c:numCache>
                <c:formatCode>General</c:formatCode>
                <c:ptCount val="6"/>
                <c:pt idx="0">
                  <c:v>37450</c:v>
                </c:pt>
                <c:pt idx="1">
                  <c:v>45580</c:v>
                </c:pt>
                <c:pt idx="2">
                  <c:v>38150</c:v>
                </c:pt>
                <c:pt idx="3">
                  <c:v>38750</c:v>
                </c:pt>
                <c:pt idx="4">
                  <c:v>33850</c:v>
                </c:pt>
                <c:pt idx="5">
                  <c:v>32450.000000000004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D5-4C8E-B65E-4603D35CBBE1}"/>
            </c:ext>
          </c:extLst>
        </c:ser>
        <c:ser>
          <c:idx val="3"/>
          <c:order val="3"/>
          <c:tx>
            <c:v>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2068178565911505"/>
                  <c:y val="-1.90385196822274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Sheet1!$K$84:$K$88</c:f>
              <c:numCache>
                <c:formatCode>General</c:formatCode>
                <c:ptCount val="5"/>
                <c:pt idx="0">
                  <c:v>6.2872887638472594</c:v>
                </c:pt>
                <c:pt idx="1">
                  <c:v>7.1400280111495356</c:v>
                </c:pt>
                <c:pt idx="2">
                  <c:v>7.3321211119293439</c:v>
                </c:pt>
                <c:pt idx="3">
                  <c:v>7.4979997332621986</c:v>
                </c:pt>
                <c:pt idx="4">
                  <c:v>7.2166474210674858</c:v>
                </c:pt>
              </c:numCache>
            </c:numRef>
          </c:xVal>
          <c:yVal>
            <c:numRef>
              <c:f>Sheet1!$L$84:$L$88</c:f>
              <c:numCache>
                <c:formatCode>General</c:formatCode>
                <c:ptCount val="5"/>
                <c:pt idx="0">
                  <c:v>27830</c:v>
                </c:pt>
                <c:pt idx="1">
                  <c:v>29870</c:v>
                </c:pt>
                <c:pt idx="2">
                  <c:v>30440</c:v>
                </c:pt>
                <c:pt idx="3">
                  <c:v>33390</c:v>
                </c:pt>
                <c:pt idx="4">
                  <c:v>31760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D5-4C8E-B65E-4603D35CBBE1}"/>
            </c:ext>
          </c:extLst>
        </c:ser>
        <c:ser>
          <c:idx val="4"/>
          <c:order val="4"/>
          <c:tx>
            <c:v>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Sheet1!$K$94:$K$95</c:f>
              <c:numCache>
                <c:formatCode>General</c:formatCode>
                <c:ptCount val="2"/>
                <c:pt idx="0">
                  <c:v>7.2801098892805181</c:v>
                </c:pt>
                <c:pt idx="1">
                  <c:v>6.6332495807107996</c:v>
                </c:pt>
              </c:numCache>
            </c:numRef>
          </c:xVal>
          <c:yVal>
            <c:numRef>
              <c:f>Sheet1!$L$94:$L$95</c:f>
              <c:numCache>
                <c:formatCode>General</c:formatCode>
                <c:ptCount val="2"/>
                <c:pt idx="0">
                  <c:v>3480</c:v>
                </c:pt>
                <c:pt idx="1">
                  <c:v>3700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D5-4C8E-B65E-4603D35CBBE1}"/>
            </c:ext>
          </c:extLst>
        </c:ser>
        <c:ser>
          <c:idx val="5"/>
          <c:order val="5"/>
          <c:tx>
            <c:v>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8.5865550217053416E-2"/>
                  <c:y val="1.66631939840509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Sheet1!$K$114:$K$128</c:f>
              <c:numCache>
                <c:formatCode>General</c:formatCode>
                <c:ptCount val="15"/>
                <c:pt idx="0">
                  <c:v>5.3665631459994954</c:v>
                </c:pt>
                <c:pt idx="1">
                  <c:v>6.2369864518050697</c:v>
                </c:pt>
                <c:pt idx="2">
                  <c:v>6.3403469936589438</c:v>
                </c:pt>
                <c:pt idx="3">
                  <c:v>6.6257075093909785</c:v>
                </c:pt>
                <c:pt idx="4">
                  <c:v>6.3482280992415507</c:v>
                </c:pt>
                <c:pt idx="5">
                  <c:v>5.5226805085936306</c:v>
                </c:pt>
                <c:pt idx="6">
                  <c:v>6.2849025449882676</c:v>
                </c:pt>
                <c:pt idx="7">
                  <c:v>6.6708320320631671</c:v>
                </c:pt>
                <c:pt idx="8">
                  <c:v>6.8702256149270671</c:v>
                </c:pt>
                <c:pt idx="9">
                  <c:v>6.6105975524153644</c:v>
                </c:pt>
                <c:pt idx="10">
                  <c:v>5.8991524815010496</c:v>
                </c:pt>
                <c:pt idx="11">
                  <c:v>6.640783086353597</c:v>
                </c:pt>
                <c:pt idx="12">
                  <c:v>6.8920243760451108</c:v>
                </c:pt>
                <c:pt idx="13">
                  <c:v>7.0992957397195395</c:v>
                </c:pt>
                <c:pt idx="14">
                  <c:v>6.8410525505948279</c:v>
                </c:pt>
              </c:numCache>
            </c:numRef>
          </c:xVal>
          <c:yVal>
            <c:numRef>
              <c:f>Sheet1!$L$114:$L$128</c:f>
              <c:numCache>
                <c:formatCode>General</c:formatCode>
                <c:ptCount val="15"/>
                <c:pt idx="0">
                  <c:v>40120</c:v>
                </c:pt>
                <c:pt idx="1">
                  <c:v>51040</c:v>
                </c:pt>
                <c:pt idx="2">
                  <c:v>53840</c:v>
                </c:pt>
                <c:pt idx="3">
                  <c:v>56740</c:v>
                </c:pt>
                <c:pt idx="4">
                  <c:v>52460</c:v>
                </c:pt>
                <c:pt idx="5">
                  <c:v>42630</c:v>
                </c:pt>
                <c:pt idx="6">
                  <c:v>54920</c:v>
                </c:pt>
                <c:pt idx="7">
                  <c:v>56740</c:v>
                </c:pt>
                <c:pt idx="8">
                  <c:v>58740</c:v>
                </c:pt>
                <c:pt idx="9">
                  <c:v>56310</c:v>
                </c:pt>
                <c:pt idx="10">
                  <c:v>46530</c:v>
                </c:pt>
                <c:pt idx="11">
                  <c:v>59370</c:v>
                </c:pt>
                <c:pt idx="12">
                  <c:v>61620</c:v>
                </c:pt>
                <c:pt idx="13">
                  <c:v>64269.999999999993</c:v>
                </c:pt>
                <c:pt idx="14">
                  <c:v>62610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D5-4C8E-B65E-4603D35CB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571440"/>
        <c:axId val="1427559440"/>
      </c:scatterChart>
      <c:valAx>
        <c:axId val="142757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59440"/>
        <c:crosses val="autoZero"/>
        <c:crossBetween val="midCat"/>
      </c:valAx>
      <c:valAx>
        <c:axId val="14275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7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2576851</xdr:colOff>
      <xdr:row>16</xdr:row>
      <xdr:rowOff>12179</xdr:rowOff>
    </xdr:from>
    <xdr:to>
      <xdr:col>7</xdr:col>
      <xdr:colOff>1365146</xdr:colOff>
      <xdr:row>30</xdr:row>
      <xdr:rowOff>128874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540BD-9DA7-3E5D-C687-6617FD436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1855032</xdr:colOff>
      <xdr:row>12</xdr:row>
      <xdr:rowOff>183630</xdr:rowOff>
    </xdr:from>
    <xdr:to>
      <xdr:col>10</xdr:col>
      <xdr:colOff>768245</xdr:colOff>
      <xdr:row>27</xdr:row>
      <xdr:rowOff>116175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A9FA0C-575E-7A25-38C5-1F7DE8ACB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zoomScale="62" workbookViewId="0">
      <selection activeCell="F26" sqref="F26"/>
    </sheetView>
  </sheetViews>
  <sheetFormatPr defaultRowHeight="14.4" x14ac:dyDescent="0.3"/>
  <cols>
    <col min="1" max="1" width="19.5546875" bestFit="1" customWidth="1"/>
    <col min="2" max="2" width="18.6640625" bestFit="1" customWidth="1"/>
    <col min="3" max="3" width="26.88671875" bestFit="1" customWidth="1"/>
    <col min="4" max="4" width="25.44140625" bestFit="1" customWidth="1"/>
    <col min="5" max="5" width="21.44140625" bestFit="1" customWidth="1"/>
    <col min="6" max="6" width="44" bestFit="1" customWidth="1"/>
    <col min="7" max="7" width="40.21875" bestFit="1" customWidth="1"/>
    <col min="8" max="8" width="34.21875" bestFit="1" customWidth="1"/>
    <col min="9" max="9" width="31.77734375" bestFit="1" customWidth="1"/>
    <col min="10" max="10" width="16.5546875" bestFit="1" customWidth="1"/>
    <col min="11" max="11" width="16.5546875" customWidth="1"/>
    <col min="12" max="12" width="26.77734375" customWidth="1"/>
  </cols>
  <sheetData>
    <row r="1" spans="1:12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/>
      <c r="L1" s="2" t="s">
        <v>10</v>
      </c>
    </row>
    <row r="2" spans="1:12" x14ac:dyDescent="0.3">
      <c r="A2" s="3">
        <v>1</v>
      </c>
      <c r="B2" s="3">
        <v>1</v>
      </c>
      <c r="C2" s="3">
        <v>490</v>
      </c>
      <c r="D2" s="3">
        <v>0.36699999999999999</v>
      </c>
      <c r="E2" s="3">
        <v>2</v>
      </c>
      <c r="F2" s="3"/>
      <c r="G2" s="3"/>
      <c r="H2" s="3">
        <v>0</v>
      </c>
      <c r="I2" s="3">
        <v>1</v>
      </c>
      <c r="J2" s="3">
        <v>19</v>
      </c>
      <c r="K2" s="3">
        <f>SQRT(J2)</f>
        <v>4.358898943540674</v>
      </c>
      <c r="L2" s="3"/>
    </row>
    <row r="3" spans="1:12" x14ac:dyDescent="0.3">
      <c r="A3" s="3">
        <v>1</v>
      </c>
      <c r="B3" s="3">
        <v>1</v>
      </c>
      <c r="C3" s="3">
        <v>490</v>
      </c>
      <c r="D3" s="3">
        <v>0.36699999999999999</v>
      </c>
      <c r="E3" s="3">
        <v>1</v>
      </c>
      <c r="F3" s="3">
        <v>17.8</v>
      </c>
      <c r="G3" s="3"/>
      <c r="H3" s="3">
        <v>0.1</v>
      </c>
      <c r="I3" s="3">
        <v>1</v>
      </c>
      <c r="J3" s="3">
        <v>22</v>
      </c>
      <c r="K3" s="3">
        <f t="shared" ref="K3:K66" si="0">SQRT(J3)</f>
        <v>4.6904157598234297</v>
      </c>
      <c r="L3" s="3"/>
    </row>
    <row r="4" spans="1:12" x14ac:dyDescent="0.3">
      <c r="A4" s="3">
        <v>1</v>
      </c>
      <c r="B4" s="3">
        <v>1</v>
      </c>
      <c r="C4" s="3">
        <v>490</v>
      </c>
      <c r="D4" s="3">
        <v>0.36699999999999999</v>
      </c>
      <c r="E4" s="3">
        <v>1</v>
      </c>
      <c r="F4" s="3">
        <v>17.8</v>
      </c>
      <c r="G4" s="3"/>
      <c r="H4" s="3">
        <v>0.2</v>
      </c>
      <c r="I4" s="3">
        <v>1</v>
      </c>
      <c r="J4" s="3">
        <v>22.5</v>
      </c>
      <c r="K4" s="3">
        <f t="shared" si="0"/>
        <v>4.7434164902525691</v>
      </c>
      <c r="L4" s="3"/>
    </row>
    <row r="5" spans="1:12" x14ac:dyDescent="0.3">
      <c r="A5" s="3">
        <v>1</v>
      </c>
      <c r="B5" s="3">
        <v>1</v>
      </c>
      <c r="C5" s="3">
        <v>490</v>
      </c>
      <c r="D5" s="3">
        <v>0.36699999999999999</v>
      </c>
      <c r="E5" s="3">
        <v>1</v>
      </c>
      <c r="F5" s="3">
        <v>17.8</v>
      </c>
      <c r="G5" s="3"/>
      <c r="H5" s="3">
        <v>0.3</v>
      </c>
      <c r="I5" s="3">
        <v>1</v>
      </c>
      <c r="J5" s="3">
        <v>27</v>
      </c>
      <c r="K5" s="3">
        <f t="shared" si="0"/>
        <v>5.196152422706632</v>
      </c>
      <c r="L5" s="3"/>
    </row>
    <row r="6" spans="1:12" x14ac:dyDescent="0.3">
      <c r="A6" s="3">
        <v>1</v>
      </c>
      <c r="B6" s="3">
        <v>1</v>
      </c>
      <c r="C6" s="3">
        <v>490</v>
      </c>
      <c r="D6" s="3">
        <v>0.36699999999999999</v>
      </c>
      <c r="E6" s="3">
        <v>1</v>
      </c>
      <c r="F6" s="3">
        <v>17.8</v>
      </c>
      <c r="G6" s="3"/>
      <c r="H6" s="3">
        <v>0.4</v>
      </c>
      <c r="I6" s="3">
        <v>1</v>
      </c>
      <c r="J6" s="3">
        <v>20</v>
      </c>
      <c r="K6" s="3">
        <f t="shared" si="0"/>
        <v>4.4721359549995796</v>
      </c>
      <c r="L6" s="3"/>
    </row>
    <row r="7" spans="1:12" x14ac:dyDescent="0.3">
      <c r="A7" s="3">
        <v>1</v>
      </c>
      <c r="B7" s="3">
        <v>1</v>
      </c>
      <c r="C7" s="3">
        <v>490</v>
      </c>
      <c r="D7" s="3">
        <v>0.36699999999999999</v>
      </c>
      <c r="E7" s="3">
        <v>1</v>
      </c>
      <c r="F7" s="3">
        <v>17.8</v>
      </c>
      <c r="G7" s="3"/>
      <c r="H7" s="3">
        <v>0.5</v>
      </c>
      <c r="I7" s="3">
        <v>1</v>
      </c>
      <c r="J7" s="3">
        <v>18</v>
      </c>
      <c r="K7" s="3">
        <f t="shared" si="0"/>
        <v>4.2426406871192848</v>
      </c>
      <c r="L7" s="3"/>
    </row>
    <row r="8" spans="1:12" x14ac:dyDescent="0.3">
      <c r="A8" s="3">
        <v>2</v>
      </c>
      <c r="B8" s="3">
        <v>2</v>
      </c>
      <c r="C8" s="3">
        <v>400</v>
      </c>
      <c r="D8" s="3">
        <v>0.5</v>
      </c>
      <c r="E8" s="3">
        <v>2</v>
      </c>
      <c r="F8" s="3"/>
      <c r="G8" s="3"/>
      <c r="H8" s="3">
        <v>0</v>
      </c>
      <c r="I8" s="3">
        <v>2</v>
      </c>
      <c r="J8" s="3">
        <v>2.2000000000000002</v>
      </c>
      <c r="K8" s="3">
        <f t="shared" si="0"/>
        <v>1.4832396974191326</v>
      </c>
      <c r="L8" s="3"/>
    </row>
    <row r="9" spans="1:12" x14ac:dyDescent="0.3">
      <c r="A9" s="3">
        <v>2</v>
      </c>
      <c r="B9" s="3">
        <v>2</v>
      </c>
      <c r="C9" s="3">
        <v>400</v>
      </c>
      <c r="D9" s="3">
        <v>0.5</v>
      </c>
      <c r="E9" s="3">
        <v>1</v>
      </c>
      <c r="F9" s="3">
        <v>4</v>
      </c>
      <c r="G9" s="3">
        <v>5</v>
      </c>
      <c r="H9" s="3">
        <v>0.1</v>
      </c>
      <c r="I9" s="3">
        <v>2</v>
      </c>
      <c r="J9" s="3">
        <v>4</v>
      </c>
      <c r="K9" s="3">
        <f t="shared" si="0"/>
        <v>2</v>
      </c>
      <c r="L9" s="3"/>
    </row>
    <row r="10" spans="1:12" x14ac:dyDescent="0.3">
      <c r="A10" s="3">
        <v>2</v>
      </c>
      <c r="B10" s="3">
        <v>2</v>
      </c>
      <c r="C10" s="3">
        <v>400</v>
      </c>
      <c r="D10" s="3">
        <v>0.5</v>
      </c>
      <c r="E10" s="3">
        <v>1</v>
      </c>
      <c r="F10" s="3">
        <v>4</v>
      </c>
      <c r="G10" s="3">
        <v>5</v>
      </c>
      <c r="H10" s="3">
        <v>0.5</v>
      </c>
      <c r="I10" s="3">
        <v>2</v>
      </c>
      <c r="J10" s="3">
        <v>4.8</v>
      </c>
      <c r="K10" s="3">
        <f t="shared" si="0"/>
        <v>2.1908902300206643</v>
      </c>
      <c r="L10" s="3"/>
    </row>
    <row r="11" spans="1:12" x14ac:dyDescent="0.3">
      <c r="A11" s="3">
        <v>2</v>
      </c>
      <c r="B11" s="3">
        <v>2</v>
      </c>
      <c r="C11" s="3">
        <v>400</v>
      </c>
      <c r="D11" s="3">
        <v>0.5</v>
      </c>
      <c r="E11" s="3">
        <v>1</v>
      </c>
      <c r="F11" s="3">
        <v>4</v>
      </c>
      <c r="G11" s="3">
        <v>5</v>
      </c>
      <c r="H11" s="3">
        <v>1</v>
      </c>
      <c r="I11" s="3">
        <v>2</v>
      </c>
      <c r="J11" s="3">
        <v>6</v>
      </c>
      <c r="K11" s="3">
        <f t="shared" si="0"/>
        <v>2.4494897427831779</v>
      </c>
      <c r="L11" s="3"/>
    </row>
    <row r="12" spans="1:12" x14ac:dyDescent="0.3">
      <c r="A12" s="3">
        <v>1</v>
      </c>
      <c r="B12" s="3">
        <v>1</v>
      </c>
      <c r="C12" s="3">
        <v>390</v>
      </c>
      <c r="D12" s="3">
        <v>0.47</v>
      </c>
      <c r="E12" s="3">
        <v>2</v>
      </c>
      <c r="F12" s="3"/>
      <c r="G12" s="3"/>
      <c r="H12" s="3">
        <v>0</v>
      </c>
      <c r="I12" s="3">
        <v>3</v>
      </c>
      <c r="J12" s="3">
        <v>45</v>
      </c>
      <c r="K12" s="3">
        <f t="shared" si="0"/>
        <v>6.7082039324993694</v>
      </c>
      <c r="L12" s="3">
        <v>30000</v>
      </c>
    </row>
    <row r="13" spans="1:12" x14ac:dyDescent="0.3">
      <c r="A13" s="3">
        <v>1</v>
      </c>
      <c r="B13" s="3">
        <v>1</v>
      </c>
      <c r="C13" s="3">
        <v>390</v>
      </c>
      <c r="D13" s="3">
        <v>0.47</v>
      </c>
      <c r="E13" s="3">
        <v>1</v>
      </c>
      <c r="F13" s="3">
        <v>8</v>
      </c>
      <c r="G13" s="3">
        <v>37</v>
      </c>
      <c r="H13" s="3">
        <v>0.5</v>
      </c>
      <c r="I13" s="3">
        <v>3</v>
      </c>
      <c r="J13" s="3">
        <v>44</v>
      </c>
      <c r="K13" s="3">
        <f t="shared" si="0"/>
        <v>6.6332495807107996</v>
      </c>
      <c r="L13" s="3">
        <v>29000</v>
      </c>
    </row>
    <row r="14" spans="1:12" x14ac:dyDescent="0.3">
      <c r="A14" s="3">
        <v>1</v>
      </c>
      <c r="B14" s="3">
        <v>1</v>
      </c>
      <c r="C14" s="3">
        <v>390</v>
      </c>
      <c r="D14" s="3">
        <v>0.47</v>
      </c>
      <c r="E14" s="3">
        <v>1</v>
      </c>
      <c r="F14" s="3">
        <v>8</v>
      </c>
      <c r="G14" s="3">
        <v>37</v>
      </c>
      <c r="H14" s="3">
        <v>1</v>
      </c>
      <c r="I14" s="3">
        <v>3</v>
      </c>
      <c r="J14" s="3">
        <v>45</v>
      </c>
      <c r="K14" s="3">
        <f t="shared" si="0"/>
        <v>6.7082039324993694</v>
      </c>
      <c r="L14" s="3">
        <v>30000</v>
      </c>
    </row>
    <row r="15" spans="1:12" x14ac:dyDescent="0.3">
      <c r="A15" s="3">
        <v>1</v>
      </c>
      <c r="B15" s="3">
        <v>1</v>
      </c>
      <c r="C15" s="3">
        <v>390</v>
      </c>
      <c r="D15" s="3">
        <v>0.47</v>
      </c>
      <c r="E15" s="3">
        <v>1</v>
      </c>
      <c r="F15" s="3">
        <v>8</v>
      </c>
      <c r="G15" s="3">
        <v>37</v>
      </c>
      <c r="H15" s="3">
        <v>1.5</v>
      </c>
      <c r="I15" s="3">
        <v>3</v>
      </c>
      <c r="J15" s="3">
        <v>43</v>
      </c>
      <c r="K15" s="3">
        <f t="shared" si="0"/>
        <v>6.5574385243020004</v>
      </c>
      <c r="L15" s="3">
        <v>31000</v>
      </c>
    </row>
    <row r="16" spans="1:12" x14ac:dyDescent="0.3">
      <c r="A16" s="3">
        <v>1</v>
      </c>
      <c r="B16" s="3">
        <v>1</v>
      </c>
      <c r="C16" s="3">
        <v>390</v>
      </c>
      <c r="D16" s="3">
        <v>0.47</v>
      </c>
      <c r="E16" s="3">
        <v>1</v>
      </c>
      <c r="F16" s="3">
        <v>8</v>
      </c>
      <c r="G16" s="3">
        <v>37</v>
      </c>
      <c r="H16" s="3">
        <v>2</v>
      </c>
      <c r="I16" s="3">
        <v>3</v>
      </c>
      <c r="J16" s="3">
        <v>44</v>
      </c>
      <c r="K16" s="3">
        <f t="shared" si="0"/>
        <v>6.6332495807107996</v>
      </c>
      <c r="L16" s="3">
        <v>29000</v>
      </c>
    </row>
    <row r="17" spans="1:12" x14ac:dyDescent="0.3">
      <c r="A17" s="3">
        <v>1</v>
      </c>
      <c r="B17" s="3">
        <v>1</v>
      </c>
      <c r="C17" s="3">
        <v>390</v>
      </c>
      <c r="D17" s="3">
        <v>0.47</v>
      </c>
      <c r="E17" s="3">
        <v>1</v>
      </c>
      <c r="F17" s="3">
        <v>8</v>
      </c>
      <c r="G17" s="3">
        <v>37</v>
      </c>
      <c r="H17" s="3">
        <v>2.5</v>
      </c>
      <c r="I17" s="3">
        <v>3</v>
      </c>
      <c r="J17" s="3">
        <v>44</v>
      </c>
      <c r="K17" s="3">
        <f t="shared" si="0"/>
        <v>6.6332495807107996</v>
      </c>
      <c r="L17" s="3">
        <v>29000</v>
      </c>
    </row>
    <row r="18" spans="1:12" x14ac:dyDescent="0.3">
      <c r="A18" s="3">
        <v>1</v>
      </c>
      <c r="B18" s="3">
        <v>1</v>
      </c>
      <c r="C18" s="3">
        <v>784</v>
      </c>
      <c r="D18" s="3">
        <v>0.24</v>
      </c>
      <c r="E18" s="3">
        <v>2</v>
      </c>
      <c r="F18" s="3"/>
      <c r="G18" s="3"/>
      <c r="H18" s="3">
        <v>0</v>
      </c>
      <c r="I18" s="3">
        <v>3</v>
      </c>
      <c r="J18" s="3">
        <v>47.98</v>
      </c>
      <c r="K18" s="3">
        <f t="shared" si="0"/>
        <v>6.9267597042195712</v>
      </c>
      <c r="L18" s="3">
        <v>35000</v>
      </c>
    </row>
    <row r="19" spans="1:12" x14ac:dyDescent="0.3">
      <c r="A19" s="3">
        <v>1</v>
      </c>
      <c r="B19" s="3">
        <v>1</v>
      </c>
      <c r="C19" s="3">
        <v>784</v>
      </c>
      <c r="D19" s="3">
        <v>0.24</v>
      </c>
      <c r="E19" s="3">
        <v>1</v>
      </c>
      <c r="F19" s="3">
        <v>5.5</v>
      </c>
      <c r="G19" s="3">
        <v>50</v>
      </c>
      <c r="H19" s="3">
        <v>0.1</v>
      </c>
      <c r="I19" s="3">
        <v>3</v>
      </c>
      <c r="J19" s="3">
        <v>57.95</v>
      </c>
      <c r="K19" s="3">
        <f t="shared" si="0"/>
        <v>7.6124897372673024</v>
      </c>
      <c r="L19" s="3">
        <v>40000</v>
      </c>
    </row>
    <row r="20" spans="1:12" x14ac:dyDescent="0.3">
      <c r="A20" s="3">
        <v>1</v>
      </c>
      <c r="B20" s="3">
        <v>1</v>
      </c>
      <c r="C20" s="3">
        <v>784</v>
      </c>
      <c r="D20" s="3">
        <v>0.24</v>
      </c>
      <c r="E20" s="3">
        <v>1</v>
      </c>
      <c r="F20" s="3">
        <v>5.5</v>
      </c>
      <c r="G20" s="3">
        <v>50</v>
      </c>
      <c r="H20" s="3">
        <v>0.3</v>
      </c>
      <c r="I20" s="3">
        <v>3</v>
      </c>
      <c r="J20" s="3">
        <v>61.46</v>
      </c>
      <c r="K20" s="3">
        <f t="shared" si="0"/>
        <v>7.8396428490078556</v>
      </c>
      <c r="L20" s="3">
        <v>43000</v>
      </c>
    </row>
    <row r="21" spans="1:12" x14ac:dyDescent="0.3">
      <c r="A21" s="3">
        <v>1</v>
      </c>
      <c r="B21" s="3">
        <v>1</v>
      </c>
      <c r="C21" s="3">
        <v>784</v>
      </c>
      <c r="D21" s="3">
        <v>0.24</v>
      </c>
      <c r="E21" s="3">
        <v>1</v>
      </c>
      <c r="F21" s="3">
        <v>5.5</v>
      </c>
      <c r="G21" s="3">
        <v>50</v>
      </c>
      <c r="H21" s="3">
        <v>0.5</v>
      </c>
      <c r="I21" s="3">
        <v>3</v>
      </c>
      <c r="J21" s="3">
        <v>59.62</v>
      </c>
      <c r="K21" s="3">
        <f t="shared" si="0"/>
        <v>7.7213988369983841</v>
      </c>
      <c r="L21" s="3">
        <v>42000</v>
      </c>
    </row>
    <row r="22" spans="1:12" x14ac:dyDescent="0.3">
      <c r="A22" s="3">
        <v>1</v>
      </c>
      <c r="B22" s="3">
        <v>3</v>
      </c>
      <c r="C22" s="3">
        <v>340</v>
      </c>
      <c r="D22" s="3">
        <v>0.33</v>
      </c>
      <c r="E22" s="3">
        <v>2</v>
      </c>
      <c r="F22" s="3"/>
      <c r="G22" s="3"/>
      <c r="H22" s="3">
        <v>0</v>
      </c>
      <c r="I22" s="3">
        <v>1</v>
      </c>
      <c r="J22" s="3">
        <v>48.5</v>
      </c>
      <c r="K22" s="3">
        <f t="shared" si="0"/>
        <v>6.9641941385920596</v>
      </c>
      <c r="L22" s="3"/>
    </row>
    <row r="23" spans="1:12" x14ac:dyDescent="0.3">
      <c r="A23" s="3">
        <v>1</v>
      </c>
      <c r="B23" s="3">
        <v>3</v>
      </c>
      <c r="C23" s="3">
        <v>340</v>
      </c>
      <c r="D23" s="3">
        <v>0.33</v>
      </c>
      <c r="E23" s="3">
        <v>1</v>
      </c>
      <c r="F23" s="3">
        <v>2</v>
      </c>
      <c r="G23" s="3"/>
      <c r="H23" s="3">
        <v>0.5</v>
      </c>
      <c r="I23" s="3">
        <v>1</v>
      </c>
      <c r="J23" s="3">
        <v>61.1</v>
      </c>
      <c r="K23" s="3">
        <f t="shared" si="0"/>
        <v>7.8166488983451217</v>
      </c>
      <c r="L23" s="3"/>
    </row>
    <row r="24" spans="1:12" x14ac:dyDescent="0.3">
      <c r="A24" s="3">
        <v>1</v>
      </c>
      <c r="B24" s="3">
        <v>1</v>
      </c>
      <c r="C24" s="3">
        <v>340</v>
      </c>
      <c r="D24" s="3">
        <v>0.33</v>
      </c>
      <c r="E24" s="3">
        <v>2</v>
      </c>
      <c r="F24" s="3"/>
      <c r="G24" s="3"/>
      <c r="H24" s="3">
        <v>0</v>
      </c>
      <c r="I24" s="3">
        <v>1</v>
      </c>
      <c r="J24" s="3">
        <v>62.5</v>
      </c>
      <c r="K24" s="3">
        <f t="shared" si="0"/>
        <v>7.9056941504209481</v>
      </c>
      <c r="L24" s="3"/>
    </row>
    <row r="25" spans="1:12" x14ac:dyDescent="0.3">
      <c r="A25" s="3">
        <v>1</v>
      </c>
      <c r="B25" s="3">
        <v>1</v>
      </c>
      <c r="C25" s="3">
        <v>340</v>
      </c>
      <c r="D25" s="3">
        <v>0.33</v>
      </c>
      <c r="E25" s="3">
        <v>1</v>
      </c>
      <c r="F25" s="3">
        <v>2</v>
      </c>
      <c r="G25" s="3"/>
      <c r="H25" s="3">
        <v>0.5</v>
      </c>
      <c r="I25" s="3">
        <v>1</v>
      </c>
      <c r="J25" s="3">
        <v>58.4</v>
      </c>
      <c r="K25" s="3">
        <f t="shared" si="0"/>
        <v>7.6419892698171203</v>
      </c>
      <c r="L25" s="3"/>
    </row>
    <row r="26" spans="1:12" x14ac:dyDescent="0.3">
      <c r="A26" s="3">
        <v>1</v>
      </c>
      <c r="B26" s="3">
        <v>3</v>
      </c>
      <c r="C26" s="3">
        <v>340</v>
      </c>
      <c r="D26" s="3">
        <v>0.34</v>
      </c>
      <c r="E26" s="3">
        <v>2</v>
      </c>
      <c r="F26" s="3"/>
      <c r="G26" s="3"/>
      <c r="H26" s="3">
        <v>0</v>
      </c>
      <c r="I26" s="3">
        <v>1</v>
      </c>
      <c r="J26" s="3">
        <v>46</v>
      </c>
      <c r="K26" s="3">
        <f t="shared" si="0"/>
        <v>6.7823299831252681</v>
      </c>
      <c r="L26" s="3">
        <v>23000</v>
      </c>
    </row>
    <row r="27" spans="1:12" x14ac:dyDescent="0.3">
      <c r="A27" s="3">
        <v>1</v>
      </c>
      <c r="B27" s="3">
        <v>3</v>
      </c>
      <c r="C27" s="3">
        <v>340</v>
      </c>
      <c r="D27" s="3">
        <v>0.34</v>
      </c>
      <c r="E27" s="3">
        <v>1</v>
      </c>
      <c r="F27" s="3">
        <v>2</v>
      </c>
      <c r="G27" s="3">
        <v>5</v>
      </c>
      <c r="H27" s="3">
        <v>0.1</v>
      </c>
      <c r="I27" s="3">
        <v>1</v>
      </c>
      <c r="J27" s="3">
        <v>54.7</v>
      </c>
      <c r="K27" s="3">
        <f t="shared" si="0"/>
        <v>7.3959448348402388</v>
      </c>
      <c r="L27" s="3">
        <v>28100</v>
      </c>
    </row>
    <row r="28" spans="1:12" x14ac:dyDescent="0.3">
      <c r="A28" s="3">
        <v>1</v>
      </c>
      <c r="B28" s="3">
        <v>3</v>
      </c>
      <c r="C28" s="3">
        <v>340</v>
      </c>
      <c r="D28" s="3">
        <v>0.34</v>
      </c>
      <c r="E28" s="3">
        <v>1</v>
      </c>
      <c r="F28" s="3">
        <v>2</v>
      </c>
      <c r="G28" s="3">
        <v>5</v>
      </c>
      <c r="H28" s="3">
        <v>0.5</v>
      </c>
      <c r="I28" s="3">
        <v>1</v>
      </c>
      <c r="J28" s="3">
        <v>54</v>
      </c>
      <c r="K28" s="3">
        <f t="shared" si="0"/>
        <v>7.3484692283495345</v>
      </c>
      <c r="L28" s="3">
        <v>26900</v>
      </c>
    </row>
    <row r="29" spans="1:12" x14ac:dyDescent="0.3">
      <c r="A29" s="3">
        <v>1</v>
      </c>
      <c r="B29" s="3">
        <v>3</v>
      </c>
      <c r="C29" s="3">
        <v>340</v>
      </c>
      <c r="D29" s="3">
        <v>0.34</v>
      </c>
      <c r="E29" s="3">
        <v>1</v>
      </c>
      <c r="F29" s="3">
        <v>2</v>
      </c>
      <c r="G29" s="3">
        <v>5</v>
      </c>
      <c r="H29" s="3">
        <v>1</v>
      </c>
      <c r="I29" s="3">
        <v>1</v>
      </c>
      <c r="J29" s="3">
        <v>54.5</v>
      </c>
      <c r="K29" s="3">
        <f t="shared" si="0"/>
        <v>7.3824115301167001</v>
      </c>
      <c r="L29" s="3">
        <v>25500</v>
      </c>
    </row>
    <row r="30" spans="1:12" x14ac:dyDescent="0.3">
      <c r="A30" s="3">
        <v>1</v>
      </c>
      <c r="B30" s="3">
        <v>1</v>
      </c>
      <c r="C30" s="3">
        <v>433.1</v>
      </c>
      <c r="D30" s="3">
        <v>0.5</v>
      </c>
      <c r="E30" s="3">
        <v>2</v>
      </c>
      <c r="F30" s="3"/>
      <c r="G30" s="3"/>
      <c r="H30" s="3">
        <v>0</v>
      </c>
      <c r="I30" s="3">
        <v>4</v>
      </c>
      <c r="J30" s="3">
        <v>39.299999999999997</v>
      </c>
      <c r="K30" s="3">
        <f t="shared" si="0"/>
        <v>6.2689712074629913</v>
      </c>
      <c r="L30" s="3"/>
    </row>
    <row r="31" spans="1:12" x14ac:dyDescent="0.3">
      <c r="A31" s="3">
        <v>1</v>
      </c>
      <c r="B31" s="3">
        <v>1</v>
      </c>
      <c r="C31" s="3">
        <v>433.1</v>
      </c>
      <c r="D31" s="3">
        <v>0.5</v>
      </c>
      <c r="E31" s="3">
        <v>1</v>
      </c>
      <c r="F31" s="3">
        <v>25</v>
      </c>
      <c r="G31" s="3">
        <v>8</v>
      </c>
      <c r="H31" s="3">
        <v>2.5000000000000001E-2</v>
      </c>
      <c r="I31" s="3">
        <v>4</v>
      </c>
      <c r="J31" s="3">
        <v>45.9</v>
      </c>
      <c r="K31" s="3">
        <f t="shared" si="0"/>
        <v>6.7749538743817288</v>
      </c>
      <c r="L31" s="3"/>
    </row>
    <row r="32" spans="1:12" x14ac:dyDescent="0.3">
      <c r="A32" s="3">
        <v>1</v>
      </c>
      <c r="B32" s="3">
        <v>1</v>
      </c>
      <c r="C32" s="3">
        <v>433.1</v>
      </c>
      <c r="D32" s="3">
        <v>0.5</v>
      </c>
      <c r="E32" s="3">
        <v>1</v>
      </c>
      <c r="F32" s="3">
        <v>25</v>
      </c>
      <c r="G32" s="3">
        <v>8</v>
      </c>
      <c r="H32" s="3">
        <v>0.05</v>
      </c>
      <c r="I32" s="3">
        <v>4</v>
      </c>
      <c r="J32" s="3">
        <v>43.8</v>
      </c>
      <c r="K32" s="3">
        <f t="shared" si="0"/>
        <v>6.6181568431097189</v>
      </c>
      <c r="L32" s="3"/>
    </row>
    <row r="33" spans="1:12" x14ac:dyDescent="0.3">
      <c r="A33" s="3">
        <v>1</v>
      </c>
      <c r="B33" s="3">
        <v>1</v>
      </c>
      <c r="C33" s="3">
        <v>433.1</v>
      </c>
      <c r="D33" s="3">
        <v>0.5</v>
      </c>
      <c r="E33" s="3">
        <v>1</v>
      </c>
      <c r="F33" s="3">
        <v>25</v>
      </c>
      <c r="G33" s="3">
        <v>8</v>
      </c>
      <c r="H33" s="3">
        <v>7.4999999999999997E-2</v>
      </c>
      <c r="I33" s="3">
        <v>4</v>
      </c>
      <c r="J33" s="3">
        <v>34.700000000000003</v>
      </c>
      <c r="K33" s="3">
        <f t="shared" si="0"/>
        <v>5.8906705900092566</v>
      </c>
      <c r="L33" s="3"/>
    </row>
    <row r="34" spans="1:12" x14ac:dyDescent="0.3">
      <c r="A34" s="3">
        <v>1</v>
      </c>
      <c r="B34" s="3">
        <v>1</v>
      </c>
      <c r="C34" s="3">
        <v>433.1</v>
      </c>
      <c r="D34" s="3">
        <v>0.5</v>
      </c>
      <c r="E34" s="3">
        <v>1</v>
      </c>
      <c r="F34" s="3">
        <v>25</v>
      </c>
      <c r="G34" s="3">
        <v>8</v>
      </c>
      <c r="H34" s="3">
        <v>0.1</v>
      </c>
      <c r="I34" s="3">
        <v>4</v>
      </c>
      <c r="J34" s="3">
        <v>34.200000000000003</v>
      </c>
      <c r="K34" s="3">
        <f t="shared" si="0"/>
        <v>5.8480766068853782</v>
      </c>
      <c r="L34" s="3"/>
    </row>
    <row r="35" spans="1:12" x14ac:dyDescent="0.3">
      <c r="A35" s="3">
        <v>1</v>
      </c>
      <c r="B35" s="3">
        <v>1</v>
      </c>
      <c r="C35" s="3">
        <v>433.1</v>
      </c>
      <c r="D35" s="3">
        <v>0.5</v>
      </c>
      <c r="E35" s="3">
        <v>1</v>
      </c>
      <c r="F35" s="3">
        <v>25</v>
      </c>
      <c r="G35" s="3">
        <v>8</v>
      </c>
      <c r="H35" s="3">
        <v>0.05</v>
      </c>
      <c r="I35" s="3">
        <v>5</v>
      </c>
      <c r="J35" s="3">
        <v>44.8</v>
      </c>
      <c r="K35" s="3">
        <f t="shared" si="0"/>
        <v>6.6932802122726045</v>
      </c>
      <c r="L35" s="3"/>
    </row>
    <row r="36" spans="1:12" x14ac:dyDescent="0.3">
      <c r="A36" s="3">
        <v>1</v>
      </c>
      <c r="B36" s="3">
        <v>1</v>
      </c>
      <c r="C36" s="3">
        <v>433.1</v>
      </c>
      <c r="D36" s="3">
        <v>0.5</v>
      </c>
      <c r="E36" s="3">
        <v>1</v>
      </c>
      <c r="F36" s="3">
        <v>25</v>
      </c>
      <c r="G36" s="3">
        <v>8</v>
      </c>
      <c r="H36" s="3">
        <v>0.05</v>
      </c>
      <c r="I36" s="3">
        <v>5</v>
      </c>
      <c r="J36" s="3">
        <v>43.8</v>
      </c>
      <c r="K36" s="3">
        <f t="shared" si="0"/>
        <v>6.6181568431097189</v>
      </c>
      <c r="L36" s="3"/>
    </row>
    <row r="37" spans="1:12" x14ac:dyDescent="0.3">
      <c r="A37" s="3">
        <v>1</v>
      </c>
      <c r="B37" s="3">
        <v>1</v>
      </c>
      <c r="C37" s="3">
        <v>433.1</v>
      </c>
      <c r="D37" s="3">
        <v>0.5</v>
      </c>
      <c r="E37" s="3">
        <v>1</v>
      </c>
      <c r="F37" s="3">
        <v>25</v>
      </c>
      <c r="G37" s="3">
        <v>8</v>
      </c>
      <c r="H37" s="3">
        <v>0.05</v>
      </c>
      <c r="I37" s="3">
        <v>5</v>
      </c>
      <c r="J37" s="3">
        <v>43.2</v>
      </c>
      <c r="K37" s="3">
        <f t="shared" si="0"/>
        <v>6.5726706900619938</v>
      </c>
      <c r="L37" s="3"/>
    </row>
    <row r="38" spans="1:12" x14ac:dyDescent="0.3">
      <c r="A38" s="3">
        <v>1</v>
      </c>
      <c r="B38" s="3">
        <v>1</v>
      </c>
      <c r="C38" s="3">
        <v>535</v>
      </c>
      <c r="D38" s="3">
        <v>0.31</v>
      </c>
      <c r="E38" s="3">
        <v>2</v>
      </c>
      <c r="F38" s="3"/>
      <c r="G38" s="3"/>
      <c r="H38" s="3">
        <v>0</v>
      </c>
      <c r="I38" s="3">
        <v>2</v>
      </c>
      <c r="J38" s="3">
        <v>50.6</v>
      </c>
      <c r="K38" s="3">
        <f t="shared" si="0"/>
        <v>7.1133676975114959</v>
      </c>
      <c r="L38" s="3">
        <v>37450</v>
      </c>
    </row>
    <row r="39" spans="1:12" x14ac:dyDescent="0.3">
      <c r="A39" s="3">
        <v>1</v>
      </c>
      <c r="B39" s="3">
        <v>1</v>
      </c>
      <c r="C39" s="3">
        <v>535</v>
      </c>
      <c r="D39" s="3">
        <v>0.31</v>
      </c>
      <c r="E39" s="3">
        <v>1</v>
      </c>
      <c r="F39" s="3">
        <v>2</v>
      </c>
      <c r="G39" s="3">
        <v>2</v>
      </c>
      <c r="H39" s="3">
        <v>0.02</v>
      </c>
      <c r="I39" s="3">
        <v>2</v>
      </c>
      <c r="J39" s="3">
        <v>61.14</v>
      </c>
      <c r="K39" s="3">
        <f t="shared" si="0"/>
        <v>7.8192071209298453</v>
      </c>
      <c r="L39" s="3">
        <v>45580</v>
      </c>
    </row>
    <row r="40" spans="1:12" x14ac:dyDescent="0.3">
      <c r="A40" s="3">
        <v>1</v>
      </c>
      <c r="B40" s="3">
        <v>1</v>
      </c>
      <c r="C40" s="3">
        <v>535</v>
      </c>
      <c r="D40" s="3">
        <v>0.31</v>
      </c>
      <c r="E40" s="3">
        <v>1</v>
      </c>
      <c r="F40" s="3">
        <v>2</v>
      </c>
      <c r="G40" s="3">
        <v>2</v>
      </c>
      <c r="H40" s="3">
        <v>0.05</v>
      </c>
      <c r="I40" s="3">
        <v>2</v>
      </c>
      <c r="J40" s="3">
        <v>54.86</v>
      </c>
      <c r="K40" s="3">
        <f t="shared" si="0"/>
        <v>7.406753674856482</v>
      </c>
      <c r="L40" s="3">
        <v>38150</v>
      </c>
    </row>
    <row r="41" spans="1:12" x14ac:dyDescent="0.3">
      <c r="A41" s="3">
        <v>1</v>
      </c>
      <c r="B41" s="3">
        <v>1</v>
      </c>
      <c r="C41" s="3">
        <v>535</v>
      </c>
      <c r="D41" s="3">
        <v>0.31</v>
      </c>
      <c r="E41" s="3">
        <v>1</v>
      </c>
      <c r="F41" s="3">
        <v>2</v>
      </c>
      <c r="G41" s="3">
        <v>2</v>
      </c>
      <c r="H41" s="3">
        <v>0.1</v>
      </c>
      <c r="I41" s="3">
        <v>2</v>
      </c>
      <c r="J41" s="3">
        <v>55.4</v>
      </c>
      <c r="K41" s="3">
        <f t="shared" si="0"/>
        <v>7.4431176263713583</v>
      </c>
      <c r="L41" s="3">
        <v>38750</v>
      </c>
    </row>
    <row r="42" spans="1:12" x14ac:dyDescent="0.3">
      <c r="A42" s="3">
        <v>1</v>
      </c>
      <c r="B42" s="3">
        <v>1</v>
      </c>
      <c r="C42" s="3">
        <v>535</v>
      </c>
      <c r="D42" s="3">
        <v>0.31</v>
      </c>
      <c r="E42" s="3">
        <v>1</v>
      </c>
      <c r="F42" s="3">
        <v>2</v>
      </c>
      <c r="G42" s="3">
        <v>2</v>
      </c>
      <c r="H42" s="3">
        <v>0.3</v>
      </c>
      <c r="I42" s="3">
        <v>2</v>
      </c>
      <c r="J42" s="3">
        <v>48.94</v>
      </c>
      <c r="K42" s="3">
        <f t="shared" si="0"/>
        <v>6.9957129729570804</v>
      </c>
      <c r="L42" s="3">
        <v>33850</v>
      </c>
    </row>
    <row r="43" spans="1:12" x14ac:dyDescent="0.3">
      <c r="A43" s="3">
        <v>1</v>
      </c>
      <c r="B43" s="3">
        <v>1</v>
      </c>
      <c r="C43" s="3">
        <v>535</v>
      </c>
      <c r="D43" s="3">
        <v>0.31</v>
      </c>
      <c r="E43" s="3">
        <v>1</v>
      </c>
      <c r="F43" s="3">
        <v>2</v>
      </c>
      <c r="G43" s="3">
        <v>2</v>
      </c>
      <c r="H43" s="3">
        <v>0.5</v>
      </c>
      <c r="I43" s="3">
        <v>2</v>
      </c>
      <c r="J43" s="3">
        <v>49.54</v>
      </c>
      <c r="K43" s="3">
        <f t="shared" si="0"/>
        <v>7.0384657419071095</v>
      </c>
      <c r="L43" s="3">
        <v>32450.000000000004</v>
      </c>
    </row>
    <row r="44" spans="1:12" x14ac:dyDescent="0.3">
      <c r="A44" s="3">
        <v>2</v>
      </c>
      <c r="B44" s="3">
        <v>1</v>
      </c>
      <c r="C44" s="3">
        <v>2000</v>
      </c>
      <c r="D44" s="3">
        <v>0.45</v>
      </c>
      <c r="E44" s="3">
        <v>2</v>
      </c>
      <c r="F44" s="3"/>
      <c r="G44" s="3"/>
      <c r="H44" s="3">
        <v>0</v>
      </c>
      <c r="I44" s="3">
        <v>6</v>
      </c>
      <c r="J44" s="3">
        <v>22.5</v>
      </c>
      <c r="K44" s="3">
        <f t="shared" si="0"/>
        <v>4.7434164902525691</v>
      </c>
      <c r="L44" s="3"/>
    </row>
    <row r="45" spans="1:12" x14ac:dyDescent="0.3">
      <c r="A45" s="3">
        <v>2</v>
      </c>
      <c r="B45" s="3">
        <v>1</v>
      </c>
      <c r="C45" s="3">
        <v>2000</v>
      </c>
      <c r="D45" s="3">
        <v>0.45</v>
      </c>
      <c r="E45" s="3">
        <v>1</v>
      </c>
      <c r="F45" s="3">
        <v>3</v>
      </c>
      <c r="G45" s="3">
        <v>230</v>
      </c>
      <c r="H45" s="3">
        <v>0.1</v>
      </c>
      <c r="I45" s="3">
        <v>6</v>
      </c>
      <c r="J45" s="3">
        <v>32</v>
      </c>
      <c r="K45" s="3">
        <f t="shared" si="0"/>
        <v>5.6568542494923806</v>
      </c>
      <c r="L45" s="3"/>
    </row>
    <row r="46" spans="1:12" x14ac:dyDescent="0.3">
      <c r="A46" s="3">
        <v>2</v>
      </c>
      <c r="B46" s="3">
        <v>1</v>
      </c>
      <c r="C46" s="3">
        <v>2000</v>
      </c>
      <c r="D46" s="3">
        <v>0.45</v>
      </c>
      <c r="E46" s="3">
        <v>1</v>
      </c>
      <c r="F46" s="3">
        <v>3</v>
      </c>
      <c r="G46" s="3">
        <v>230</v>
      </c>
      <c r="H46" s="3">
        <v>0.1</v>
      </c>
      <c r="I46" s="3">
        <v>6</v>
      </c>
      <c r="J46" s="3">
        <v>27</v>
      </c>
      <c r="K46" s="3">
        <f t="shared" si="0"/>
        <v>5.196152422706632</v>
      </c>
      <c r="L46" s="3"/>
    </row>
    <row r="47" spans="1:12" x14ac:dyDescent="0.3">
      <c r="A47" s="3">
        <v>1</v>
      </c>
      <c r="B47" s="3">
        <v>1</v>
      </c>
      <c r="C47" s="3">
        <v>290</v>
      </c>
      <c r="D47" s="3">
        <v>0.6</v>
      </c>
      <c r="E47" s="3">
        <v>2</v>
      </c>
      <c r="F47" s="3"/>
      <c r="G47" s="3"/>
      <c r="H47" s="3">
        <v>0</v>
      </c>
      <c r="I47" s="3">
        <v>2</v>
      </c>
      <c r="J47" s="3">
        <v>17.899999999999999</v>
      </c>
      <c r="K47" s="3">
        <f t="shared" si="0"/>
        <v>4.2308391602612359</v>
      </c>
      <c r="L47" s="3"/>
    </row>
    <row r="48" spans="1:12" x14ac:dyDescent="0.3">
      <c r="A48" s="3">
        <v>1</v>
      </c>
      <c r="B48" s="3">
        <v>1</v>
      </c>
      <c r="C48" s="3">
        <v>290</v>
      </c>
      <c r="D48" s="3">
        <v>0.6</v>
      </c>
      <c r="E48" s="3">
        <v>1</v>
      </c>
      <c r="F48" s="3">
        <v>6</v>
      </c>
      <c r="G48" s="3">
        <v>3</v>
      </c>
      <c r="H48" s="3">
        <v>0.25</v>
      </c>
      <c r="I48" s="3">
        <v>2</v>
      </c>
      <c r="J48" s="3">
        <v>19.2</v>
      </c>
      <c r="K48" s="3">
        <f t="shared" si="0"/>
        <v>4.3817804600413286</v>
      </c>
      <c r="L48" s="3"/>
    </row>
    <row r="49" spans="1:12" x14ac:dyDescent="0.3">
      <c r="A49" s="3">
        <v>1</v>
      </c>
      <c r="B49" s="3">
        <v>1</v>
      </c>
      <c r="C49" s="3">
        <v>290</v>
      </c>
      <c r="D49" s="3">
        <v>0.6</v>
      </c>
      <c r="E49" s="3">
        <v>1</v>
      </c>
      <c r="F49" s="3">
        <v>6</v>
      </c>
      <c r="G49" s="3">
        <v>3</v>
      </c>
      <c r="H49" s="3">
        <v>0.25</v>
      </c>
      <c r="I49" s="3">
        <v>6</v>
      </c>
      <c r="J49" s="3">
        <v>20.100000000000001</v>
      </c>
      <c r="K49" s="3">
        <f t="shared" si="0"/>
        <v>4.483302354291979</v>
      </c>
      <c r="L49" s="3"/>
    </row>
    <row r="50" spans="1:12" x14ac:dyDescent="0.3">
      <c r="A50" s="3">
        <v>3</v>
      </c>
      <c r="B50" s="3">
        <v>4</v>
      </c>
      <c r="C50" s="3">
        <v>1254</v>
      </c>
      <c r="D50" s="3">
        <v>0.254</v>
      </c>
      <c r="E50" s="3">
        <v>2</v>
      </c>
      <c r="F50" s="3"/>
      <c r="G50" s="3"/>
      <c r="H50" s="3">
        <v>0</v>
      </c>
      <c r="I50" s="3">
        <v>3</v>
      </c>
      <c r="J50" s="3">
        <v>50</v>
      </c>
      <c r="K50" s="3">
        <f t="shared" si="0"/>
        <v>7.0710678118654755</v>
      </c>
      <c r="L50" s="3"/>
    </row>
    <row r="51" spans="1:12" x14ac:dyDescent="0.3">
      <c r="A51" s="3">
        <v>3</v>
      </c>
      <c r="B51" s="3">
        <v>4</v>
      </c>
      <c r="C51" s="3">
        <v>1254</v>
      </c>
      <c r="D51" s="3">
        <v>0.255</v>
      </c>
      <c r="E51" s="3">
        <v>1</v>
      </c>
      <c r="F51" s="3">
        <v>6</v>
      </c>
      <c r="G51" s="3">
        <v>100</v>
      </c>
      <c r="H51" s="3">
        <v>0.05</v>
      </c>
      <c r="I51" s="3">
        <v>3</v>
      </c>
      <c r="J51" s="3">
        <v>56</v>
      </c>
      <c r="K51" s="3">
        <f t="shared" si="0"/>
        <v>7.4833147735478827</v>
      </c>
      <c r="L51" s="3"/>
    </row>
    <row r="52" spans="1:12" x14ac:dyDescent="0.3">
      <c r="A52" s="3">
        <v>3</v>
      </c>
      <c r="B52" s="3">
        <v>4</v>
      </c>
      <c r="C52" s="3">
        <v>1254</v>
      </c>
      <c r="D52" s="3">
        <v>0.25600000000000001</v>
      </c>
      <c r="E52" s="3">
        <v>1</v>
      </c>
      <c r="F52" s="3">
        <v>6</v>
      </c>
      <c r="G52" s="3">
        <v>100</v>
      </c>
      <c r="H52" s="3">
        <v>0.1</v>
      </c>
      <c r="I52" s="3">
        <v>3</v>
      </c>
      <c r="J52" s="3">
        <v>57</v>
      </c>
      <c r="K52" s="3">
        <f t="shared" si="0"/>
        <v>7.5498344352707498</v>
      </c>
      <c r="L52" s="3"/>
    </row>
    <row r="53" spans="1:12" x14ac:dyDescent="0.3">
      <c r="A53" s="3">
        <v>3</v>
      </c>
      <c r="B53" s="3">
        <v>4</v>
      </c>
      <c r="C53" s="3">
        <v>1254</v>
      </c>
      <c r="D53" s="3">
        <v>0.25700000000000001</v>
      </c>
      <c r="E53" s="3">
        <v>1</v>
      </c>
      <c r="F53" s="3">
        <v>6</v>
      </c>
      <c r="G53" s="3">
        <v>100</v>
      </c>
      <c r="H53" s="3">
        <v>0.3</v>
      </c>
      <c r="I53" s="3">
        <v>3</v>
      </c>
      <c r="J53" s="3">
        <v>55</v>
      </c>
      <c r="K53" s="3">
        <f t="shared" si="0"/>
        <v>7.416198487095663</v>
      </c>
      <c r="L53" s="3"/>
    </row>
    <row r="54" spans="1:12" x14ac:dyDescent="0.3">
      <c r="A54" s="3">
        <v>3</v>
      </c>
      <c r="B54" s="3">
        <v>4</v>
      </c>
      <c r="C54" s="3">
        <v>1254</v>
      </c>
      <c r="D54" s="3">
        <v>0.25800000000000001</v>
      </c>
      <c r="E54" s="3">
        <v>1</v>
      </c>
      <c r="F54" s="3">
        <v>6</v>
      </c>
      <c r="G54" s="3">
        <v>100</v>
      </c>
      <c r="H54" s="3">
        <v>0.5</v>
      </c>
      <c r="I54" s="3">
        <v>3</v>
      </c>
      <c r="J54" s="3">
        <v>53</v>
      </c>
      <c r="K54" s="3">
        <f t="shared" si="0"/>
        <v>7.2801098892805181</v>
      </c>
      <c r="L54" s="3"/>
    </row>
    <row r="55" spans="1:12" x14ac:dyDescent="0.3">
      <c r="A55" s="3">
        <v>3</v>
      </c>
      <c r="B55" s="3">
        <v>4</v>
      </c>
      <c r="C55" s="3">
        <v>1254</v>
      </c>
      <c r="D55" s="3">
        <v>0.25900000000000001</v>
      </c>
      <c r="E55" s="3">
        <v>1</v>
      </c>
      <c r="F55" s="3">
        <v>6</v>
      </c>
      <c r="G55" s="3">
        <v>100</v>
      </c>
      <c r="H55" s="3">
        <v>0.7</v>
      </c>
      <c r="I55" s="3">
        <v>3</v>
      </c>
      <c r="J55" s="3">
        <v>52</v>
      </c>
      <c r="K55" s="3">
        <f t="shared" si="0"/>
        <v>7.2111025509279782</v>
      </c>
      <c r="L55" s="3"/>
    </row>
    <row r="56" spans="1:12" x14ac:dyDescent="0.3">
      <c r="A56" s="3">
        <v>3</v>
      </c>
      <c r="B56" s="3">
        <v>4</v>
      </c>
      <c r="C56" s="3">
        <v>1254</v>
      </c>
      <c r="D56" s="3">
        <v>0.26</v>
      </c>
      <c r="E56" s="3">
        <v>1</v>
      </c>
      <c r="F56" s="3">
        <v>6</v>
      </c>
      <c r="G56" s="3">
        <v>100</v>
      </c>
      <c r="H56" s="3">
        <v>1</v>
      </c>
      <c r="I56" s="3">
        <v>3</v>
      </c>
      <c r="J56" s="3">
        <v>51</v>
      </c>
      <c r="K56" s="3">
        <f t="shared" si="0"/>
        <v>7.1414284285428504</v>
      </c>
      <c r="L56" s="3"/>
    </row>
    <row r="57" spans="1:12" x14ac:dyDescent="0.3">
      <c r="A57" s="3">
        <v>1</v>
      </c>
      <c r="B57" s="3">
        <v>1</v>
      </c>
      <c r="C57" s="3">
        <v>331</v>
      </c>
      <c r="D57" s="3">
        <v>0.52</v>
      </c>
      <c r="E57" s="3">
        <v>2</v>
      </c>
      <c r="F57" s="3"/>
      <c r="G57" s="3"/>
      <c r="H57" s="3">
        <v>0</v>
      </c>
      <c r="I57" s="3">
        <v>1</v>
      </c>
      <c r="J57" s="3">
        <v>40</v>
      </c>
      <c r="K57" s="3">
        <f t="shared" si="0"/>
        <v>6.324555320336759</v>
      </c>
      <c r="L57" s="3"/>
    </row>
    <row r="58" spans="1:12" x14ac:dyDescent="0.3">
      <c r="A58" s="3">
        <v>1</v>
      </c>
      <c r="B58" s="3">
        <v>1</v>
      </c>
      <c r="C58" s="3">
        <v>331</v>
      </c>
      <c r="D58" s="3">
        <v>0.52</v>
      </c>
      <c r="E58" s="3">
        <v>3</v>
      </c>
      <c r="F58" s="3">
        <v>30</v>
      </c>
      <c r="G58" s="3">
        <v>5</v>
      </c>
      <c r="H58" s="3">
        <v>0.01</v>
      </c>
      <c r="I58" s="3">
        <v>1</v>
      </c>
      <c r="J58" s="3">
        <v>43</v>
      </c>
      <c r="K58" s="3">
        <f t="shared" si="0"/>
        <v>6.5574385243020004</v>
      </c>
      <c r="L58" s="3"/>
    </row>
    <row r="59" spans="1:12" x14ac:dyDescent="0.3">
      <c r="A59" s="3">
        <v>1</v>
      </c>
      <c r="B59" s="3">
        <v>1</v>
      </c>
      <c r="C59" s="3">
        <v>331</v>
      </c>
      <c r="D59" s="3">
        <v>0.52</v>
      </c>
      <c r="E59" s="3">
        <v>3</v>
      </c>
      <c r="F59" s="3">
        <v>30</v>
      </c>
      <c r="G59" s="3">
        <v>5</v>
      </c>
      <c r="H59" s="3">
        <v>2.5000000000000001E-2</v>
      </c>
      <c r="I59" s="3">
        <v>1</v>
      </c>
      <c r="J59" s="3">
        <v>47</v>
      </c>
      <c r="K59" s="3">
        <f t="shared" si="0"/>
        <v>6.8556546004010439</v>
      </c>
      <c r="L59" s="3"/>
    </row>
    <row r="60" spans="1:12" x14ac:dyDescent="0.3">
      <c r="A60" s="3">
        <v>1</v>
      </c>
      <c r="B60" s="3">
        <v>1</v>
      </c>
      <c r="C60" s="3">
        <v>331</v>
      </c>
      <c r="D60" s="3">
        <v>0.52</v>
      </c>
      <c r="E60" s="3">
        <v>3</v>
      </c>
      <c r="F60" s="3">
        <v>30</v>
      </c>
      <c r="G60" s="3">
        <v>5</v>
      </c>
      <c r="H60" s="3">
        <v>0.03</v>
      </c>
      <c r="I60" s="3">
        <v>1</v>
      </c>
      <c r="J60" s="3">
        <v>41</v>
      </c>
      <c r="K60" s="3">
        <f t="shared" si="0"/>
        <v>6.4031242374328485</v>
      </c>
      <c r="L60" s="3"/>
    </row>
    <row r="61" spans="1:12" x14ac:dyDescent="0.3">
      <c r="A61" s="3">
        <v>1</v>
      </c>
      <c r="B61" s="3">
        <v>1</v>
      </c>
      <c r="C61" s="3">
        <v>331</v>
      </c>
      <c r="D61" s="3">
        <v>0.52</v>
      </c>
      <c r="E61" s="3">
        <v>3</v>
      </c>
      <c r="F61" s="3">
        <v>30</v>
      </c>
      <c r="G61" s="3">
        <v>5</v>
      </c>
      <c r="H61" s="3">
        <v>0.05</v>
      </c>
      <c r="I61" s="3">
        <v>1</v>
      </c>
      <c r="J61" s="3">
        <v>38</v>
      </c>
      <c r="K61" s="3">
        <f t="shared" si="0"/>
        <v>6.164414002968976</v>
      </c>
      <c r="L61" s="3"/>
    </row>
    <row r="62" spans="1:12" x14ac:dyDescent="0.3">
      <c r="A62" s="3">
        <v>1</v>
      </c>
      <c r="B62" s="3">
        <v>5</v>
      </c>
      <c r="C62" s="3">
        <v>425</v>
      </c>
      <c r="D62" s="3">
        <v>0.4</v>
      </c>
      <c r="E62" s="3">
        <v>2</v>
      </c>
      <c r="F62" s="3"/>
      <c r="G62" s="3"/>
      <c r="H62" s="3">
        <v>0</v>
      </c>
      <c r="I62" s="3">
        <v>7</v>
      </c>
      <c r="J62" s="3">
        <v>38.9</v>
      </c>
      <c r="K62" s="3">
        <f t="shared" si="0"/>
        <v>6.2369864518050697</v>
      </c>
      <c r="L62" s="3"/>
    </row>
    <row r="63" spans="1:12" x14ac:dyDescent="0.3">
      <c r="A63" s="3">
        <v>1</v>
      </c>
      <c r="B63" s="3">
        <v>5</v>
      </c>
      <c r="C63" s="3">
        <v>425</v>
      </c>
      <c r="D63" s="3">
        <v>0.4</v>
      </c>
      <c r="E63" s="3">
        <v>3</v>
      </c>
      <c r="F63" s="3">
        <v>5</v>
      </c>
      <c r="G63" s="3">
        <v>0.68</v>
      </c>
      <c r="H63" s="3">
        <v>0.01</v>
      </c>
      <c r="I63" s="3">
        <v>7</v>
      </c>
      <c r="J63" s="3">
        <v>39.6</v>
      </c>
      <c r="K63" s="3">
        <f t="shared" si="0"/>
        <v>6.2928530890209098</v>
      </c>
      <c r="L63" s="3"/>
    </row>
    <row r="64" spans="1:12" x14ac:dyDescent="0.3">
      <c r="A64" s="3">
        <v>1</v>
      </c>
      <c r="B64" s="3">
        <v>5</v>
      </c>
      <c r="C64" s="3">
        <v>425</v>
      </c>
      <c r="D64" s="3">
        <v>0.4</v>
      </c>
      <c r="E64" s="3">
        <v>3</v>
      </c>
      <c r="F64" s="3">
        <v>5</v>
      </c>
      <c r="G64" s="3">
        <v>0.68</v>
      </c>
      <c r="H64" s="3">
        <v>0.05</v>
      </c>
      <c r="I64" s="3">
        <v>7</v>
      </c>
      <c r="J64" s="3">
        <v>41.7</v>
      </c>
      <c r="K64" s="3">
        <f t="shared" si="0"/>
        <v>6.4575537163851759</v>
      </c>
      <c r="L64" s="3"/>
    </row>
    <row r="65" spans="1:12" x14ac:dyDescent="0.3">
      <c r="A65" s="3">
        <v>1</v>
      </c>
      <c r="B65" s="3">
        <v>5</v>
      </c>
      <c r="C65" s="3">
        <v>425</v>
      </c>
      <c r="D65" s="3">
        <v>0.4</v>
      </c>
      <c r="E65" s="3">
        <v>3</v>
      </c>
      <c r="F65" s="3">
        <v>5</v>
      </c>
      <c r="G65" s="3">
        <v>0.68</v>
      </c>
      <c r="H65" s="3">
        <v>0.1</v>
      </c>
      <c r="I65" s="3">
        <v>7</v>
      </c>
      <c r="J65" s="3">
        <v>44.1</v>
      </c>
      <c r="K65" s="3">
        <f t="shared" si="0"/>
        <v>6.640783086353597</v>
      </c>
      <c r="L65" s="3"/>
    </row>
    <row r="66" spans="1:12" x14ac:dyDescent="0.3">
      <c r="A66" s="3">
        <v>1</v>
      </c>
      <c r="B66" s="3">
        <v>5</v>
      </c>
      <c r="C66" s="3">
        <v>425</v>
      </c>
      <c r="D66" s="3">
        <v>0.4</v>
      </c>
      <c r="E66" s="3">
        <v>3</v>
      </c>
      <c r="F66" s="3">
        <v>5</v>
      </c>
      <c r="G66" s="3">
        <v>0.68</v>
      </c>
      <c r="H66" s="3">
        <v>0.2</v>
      </c>
      <c r="I66" s="3">
        <v>7</v>
      </c>
      <c r="J66" s="3">
        <v>40.1</v>
      </c>
      <c r="K66" s="3">
        <f t="shared" si="0"/>
        <v>6.3324560795950253</v>
      </c>
      <c r="L66" s="3"/>
    </row>
    <row r="67" spans="1:12" x14ac:dyDescent="0.3">
      <c r="A67" s="3">
        <v>3</v>
      </c>
      <c r="B67" s="3">
        <v>6</v>
      </c>
      <c r="C67" s="3">
        <v>568</v>
      </c>
      <c r="D67" s="3">
        <v>0.4</v>
      </c>
      <c r="E67" s="3">
        <v>2</v>
      </c>
      <c r="F67" s="3"/>
      <c r="G67" s="3"/>
      <c r="H67" s="3">
        <v>0</v>
      </c>
      <c r="I67" s="3">
        <v>1</v>
      </c>
      <c r="J67" s="3">
        <v>35</v>
      </c>
      <c r="K67" s="3">
        <f t="shared" ref="K67:K128" si="1">SQRT(J67)</f>
        <v>5.9160797830996161</v>
      </c>
      <c r="L67" s="3"/>
    </row>
    <row r="68" spans="1:12" x14ac:dyDescent="0.3">
      <c r="A68" s="3">
        <v>3</v>
      </c>
      <c r="B68" s="3">
        <v>6</v>
      </c>
      <c r="C68" s="3">
        <v>568</v>
      </c>
      <c r="D68" s="3">
        <v>0.4</v>
      </c>
      <c r="E68" s="3">
        <v>3</v>
      </c>
      <c r="F68" s="3">
        <v>0.28000000000000003</v>
      </c>
      <c r="G68" s="3">
        <v>3</v>
      </c>
      <c r="H68" s="3">
        <v>0.2</v>
      </c>
      <c r="I68" s="3">
        <v>1</v>
      </c>
      <c r="J68" s="3">
        <v>48</v>
      </c>
      <c r="K68" s="3">
        <f t="shared" si="1"/>
        <v>6.9282032302755088</v>
      </c>
      <c r="L68" s="3"/>
    </row>
    <row r="69" spans="1:12" x14ac:dyDescent="0.3">
      <c r="A69" s="3">
        <v>3</v>
      </c>
      <c r="B69" s="3">
        <v>6</v>
      </c>
      <c r="C69" s="3">
        <v>568</v>
      </c>
      <c r="D69" s="3">
        <v>0.4</v>
      </c>
      <c r="E69" s="3">
        <v>3</v>
      </c>
      <c r="F69" s="3">
        <v>0.28000000000000003</v>
      </c>
      <c r="G69" s="3">
        <v>3</v>
      </c>
      <c r="H69" s="3">
        <v>0.3</v>
      </c>
      <c r="I69" s="3">
        <v>1</v>
      </c>
      <c r="J69" s="3">
        <v>43</v>
      </c>
      <c r="K69" s="3">
        <f t="shared" si="1"/>
        <v>6.5574385243020004</v>
      </c>
      <c r="L69" s="3"/>
    </row>
    <row r="70" spans="1:12" x14ac:dyDescent="0.3">
      <c r="A70" s="3">
        <v>2</v>
      </c>
      <c r="B70" s="3">
        <v>7</v>
      </c>
      <c r="C70" s="3">
        <v>550</v>
      </c>
      <c r="D70" s="3">
        <v>0.4</v>
      </c>
      <c r="E70" s="3">
        <v>2</v>
      </c>
      <c r="F70" s="3"/>
      <c r="G70" s="3"/>
      <c r="H70" s="3">
        <v>0</v>
      </c>
      <c r="I70" s="3">
        <v>8</v>
      </c>
      <c r="J70" s="3">
        <v>29</v>
      </c>
      <c r="K70" s="3">
        <f t="shared" si="1"/>
        <v>5.3851648071345037</v>
      </c>
      <c r="L70" s="3"/>
    </row>
    <row r="71" spans="1:12" x14ac:dyDescent="0.3">
      <c r="A71" s="3">
        <v>2</v>
      </c>
      <c r="B71" s="3">
        <v>7</v>
      </c>
      <c r="C71" s="3">
        <v>550</v>
      </c>
      <c r="D71" s="3">
        <v>0.4</v>
      </c>
      <c r="E71" s="3">
        <v>3</v>
      </c>
      <c r="F71" s="3">
        <v>0.5</v>
      </c>
      <c r="G71" s="3">
        <v>9</v>
      </c>
      <c r="H71" s="3">
        <v>0.04</v>
      </c>
      <c r="I71" s="3">
        <v>8</v>
      </c>
      <c r="J71" s="3">
        <v>37.5</v>
      </c>
      <c r="K71" s="3">
        <f t="shared" si="1"/>
        <v>6.1237243569579451</v>
      </c>
      <c r="L71" s="3"/>
    </row>
    <row r="72" spans="1:12" x14ac:dyDescent="0.3">
      <c r="A72" s="3">
        <v>2</v>
      </c>
      <c r="B72" s="3">
        <v>7</v>
      </c>
      <c r="C72" s="3">
        <v>550</v>
      </c>
      <c r="D72" s="3">
        <v>0.4</v>
      </c>
      <c r="E72" s="3">
        <v>3</v>
      </c>
      <c r="F72" s="3">
        <v>0.5</v>
      </c>
      <c r="G72" s="3">
        <v>9</v>
      </c>
      <c r="H72" s="3">
        <v>0.08</v>
      </c>
      <c r="I72" s="3">
        <v>8</v>
      </c>
      <c r="J72" s="3">
        <v>41</v>
      </c>
      <c r="K72" s="3">
        <f t="shared" si="1"/>
        <v>6.4031242374328485</v>
      </c>
      <c r="L72" s="3"/>
    </row>
    <row r="73" spans="1:12" x14ac:dyDescent="0.3">
      <c r="A73" s="3">
        <v>2</v>
      </c>
      <c r="B73" s="3">
        <v>7</v>
      </c>
      <c r="C73" s="3">
        <v>550</v>
      </c>
      <c r="D73" s="3">
        <v>0.4</v>
      </c>
      <c r="E73" s="3">
        <v>3</v>
      </c>
      <c r="F73" s="3">
        <v>0.5</v>
      </c>
      <c r="G73" s="3">
        <v>9</v>
      </c>
      <c r="H73" s="3">
        <v>0.12</v>
      </c>
      <c r="I73" s="3">
        <v>8</v>
      </c>
      <c r="J73" s="3">
        <v>36</v>
      </c>
      <c r="K73" s="3">
        <f t="shared" si="1"/>
        <v>6</v>
      </c>
      <c r="L73" s="3"/>
    </row>
    <row r="74" spans="1:12" x14ac:dyDescent="0.3">
      <c r="A74" s="3">
        <v>2</v>
      </c>
      <c r="B74" s="3">
        <v>7</v>
      </c>
      <c r="C74" s="3">
        <v>550</v>
      </c>
      <c r="D74" s="3">
        <v>0.4</v>
      </c>
      <c r="E74" s="3">
        <v>3</v>
      </c>
      <c r="F74" s="3">
        <v>0.5</v>
      </c>
      <c r="G74" s="3">
        <v>9</v>
      </c>
      <c r="H74" s="3">
        <v>0.16</v>
      </c>
      <c r="I74" s="3">
        <v>8</v>
      </c>
      <c r="J74" s="3">
        <v>34</v>
      </c>
      <c r="K74" s="3">
        <f t="shared" si="1"/>
        <v>5.8309518948453007</v>
      </c>
      <c r="L74" s="3"/>
    </row>
    <row r="75" spans="1:12" x14ac:dyDescent="0.3">
      <c r="A75" s="3">
        <v>2</v>
      </c>
      <c r="B75" s="3">
        <v>7</v>
      </c>
      <c r="C75" s="3">
        <v>550</v>
      </c>
      <c r="D75" s="3">
        <v>0.4</v>
      </c>
      <c r="E75" s="3">
        <v>3</v>
      </c>
      <c r="F75" s="3">
        <v>0.5</v>
      </c>
      <c r="G75" s="3">
        <v>9</v>
      </c>
      <c r="H75" s="3">
        <v>0.2</v>
      </c>
      <c r="I75" s="3">
        <v>8</v>
      </c>
      <c r="J75" s="3">
        <v>33.5</v>
      </c>
      <c r="K75" s="3">
        <f t="shared" si="1"/>
        <v>5.7879184513951127</v>
      </c>
      <c r="L75" s="3"/>
    </row>
    <row r="76" spans="1:12" x14ac:dyDescent="0.3">
      <c r="A76" s="3">
        <v>1</v>
      </c>
      <c r="B76" s="3">
        <v>8</v>
      </c>
      <c r="C76" s="3">
        <v>339</v>
      </c>
      <c r="D76" s="3">
        <v>0.48</v>
      </c>
      <c r="E76" s="3">
        <v>2</v>
      </c>
      <c r="F76" s="3"/>
      <c r="G76" s="3"/>
      <c r="H76" s="3">
        <v>0</v>
      </c>
      <c r="I76" s="3">
        <v>1</v>
      </c>
      <c r="J76" s="3">
        <v>44</v>
      </c>
      <c r="K76" s="3">
        <f t="shared" si="1"/>
        <v>6.6332495807107996</v>
      </c>
      <c r="L76" s="3"/>
    </row>
    <row r="77" spans="1:12" x14ac:dyDescent="0.3">
      <c r="A77" s="3">
        <v>1</v>
      </c>
      <c r="B77" s="3">
        <v>8</v>
      </c>
      <c r="C77" s="3">
        <v>339</v>
      </c>
      <c r="D77" s="3">
        <v>0.48</v>
      </c>
      <c r="E77" s="3">
        <v>2</v>
      </c>
      <c r="F77" s="3"/>
      <c r="G77" s="3"/>
      <c r="H77" s="3">
        <v>0</v>
      </c>
      <c r="I77" s="3">
        <v>1</v>
      </c>
      <c r="J77" s="3">
        <v>43</v>
      </c>
      <c r="K77" s="3">
        <f t="shared" si="1"/>
        <v>6.5574385243020004</v>
      </c>
      <c r="L77" s="3"/>
    </row>
    <row r="78" spans="1:12" x14ac:dyDescent="0.3">
      <c r="A78" s="3">
        <v>1</v>
      </c>
      <c r="B78" s="3">
        <v>8</v>
      </c>
      <c r="C78" s="3">
        <v>339</v>
      </c>
      <c r="D78" s="3">
        <v>0.48</v>
      </c>
      <c r="E78" s="3">
        <v>3</v>
      </c>
      <c r="F78" s="3">
        <v>10</v>
      </c>
      <c r="G78" s="3">
        <v>5</v>
      </c>
      <c r="H78" s="3">
        <v>0.1</v>
      </c>
      <c r="I78" s="3">
        <v>1</v>
      </c>
      <c r="J78" s="3">
        <v>48</v>
      </c>
      <c r="K78" s="3">
        <f t="shared" si="1"/>
        <v>6.9282032302755088</v>
      </c>
      <c r="L78" s="3"/>
    </row>
    <row r="79" spans="1:12" x14ac:dyDescent="0.3">
      <c r="A79" s="3">
        <v>1</v>
      </c>
      <c r="B79" s="3">
        <v>8</v>
      </c>
      <c r="C79" s="3">
        <v>339</v>
      </c>
      <c r="D79" s="3">
        <v>0.48</v>
      </c>
      <c r="E79" s="3">
        <v>3</v>
      </c>
      <c r="F79" s="3">
        <v>10</v>
      </c>
      <c r="G79" s="3">
        <v>5</v>
      </c>
      <c r="H79" s="3">
        <v>0.1</v>
      </c>
      <c r="I79" s="3">
        <v>1</v>
      </c>
      <c r="J79" s="3">
        <v>44</v>
      </c>
      <c r="K79" s="3">
        <f t="shared" si="1"/>
        <v>6.6332495807107996</v>
      </c>
      <c r="L79" s="3"/>
    </row>
    <row r="80" spans="1:12" x14ac:dyDescent="0.3">
      <c r="A80" s="3">
        <v>1</v>
      </c>
      <c r="B80" s="3">
        <v>8</v>
      </c>
      <c r="C80" s="3">
        <v>339</v>
      </c>
      <c r="D80" s="3">
        <v>0.48</v>
      </c>
      <c r="E80" s="3">
        <v>3</v>
      </c>
      <c r="F80" s="3">
        <v>10</v>
      </c>
      <c r="G80" s="3">
        <v>5</v>
      </c>
      <c r="H80" s="3">
        <v>0.3</v>
      </c>
      <c r="I80" s="3">
        <v>1</v>
      </c>
      <c r="J80" s="3">
        <v>50</v>
      </c>
      <c r="K80" s="3">
        <f t="shared" si="1"/>
        <v>7.0710678118654755</v>
      </c>
      <c r="L80" s="3"/>
    </row>
    <row r="81" spans="1:12" x14ac:dyDescent="0.3">
      <c r="A81" s="3">
        <v>1</v>
      </c>
      <c r="B81" s="3">
        <v>8</v>
      </c>
      <c r="C81" s="3">
        <v>339</v>
      </c>
      <c r="D81" s="3">
        <v>0.48</v>
      </c>
      <c r="E81" s="3">
        <v>3</v>
      </c>
      <c r="F81" s="3">
        <v>10</v>
      </c>
      <c r="G81" s="3">
        <v>5</v>
      </c>
      <c r="H81" s="3">
        <v>0.3</v>
      </c>
      <c r="I81" s="3">
        <v>1</v>
      </c>
      <c r="J81" s="3">
        <v>48</v>
      </c>
      <c r="K81" s="3">
        <f t="shared" si="1"/>
        <v>6.9282032302755088</v>
      </c>
      <c r="L81" s="3"/>
    </row>
    <row r="82" spans="1:12" x14ac:dyDescent="0.3">
      <c r="A82" s="3">
        <v>1</v>
      </c>
      <c r="B82" s="3">
        <v>8</v>
      </c>
      <c r="C82" s="3">
        <v>339</v>
      </c>
      <c r="D82" s="3">
        <v>0.48</v>
      </c>
      <c r="E82" s="3">
        <v>3</v>
      </c>
      <c r="F82" s="3">
        <v>10</v>
      </c>
      <c r="G82" s="3">
        <v>5</v>
      </c>
      <c r="H82" s="3">
        <v>0.5</v>
      </c>
      <c r="I82" s="3">
        <v>1</v>
      </c>
      <c r="J82" s="3">
        <v>53</v>
      </c>
      <c r="K82" s="3">
        <f t="shared" si="1"/>
        <v>7.2801098892805181</v>
      </c>
      <c r="L82" s="3"/>
    </row>
    <row r="83" spans="1:12" x14ac:dyDescent="0.3">
      <c r="A83" s="3">
        <v>1</v>
      </c>
      <c r="B83" s="3">
        <v>8</v>
      </c>
      <c r="C83" s="3">
        <v>339</v>
      </c>
      <c r="D83" s="3">
        <v>0.48</v>
      </c>
      <c r="E83" s="3">
        <v>3</v>
      </c>
      <c r="F83" s="3">
        <v>10</v>
      </c>
      <c r="G83" s="3">
        <v>5</v>
      </c>
      <c r="H83" s="3">
        <v>0.5</v>
      </c>
      <c r="I83" s="3">
        <v>1</v>
      </c>
      <c r="J83" s="3">
        <v>52</v>
      </c>
      <c r="K83" s="3">
        <f t="shared" si="1"/>
        <v>7.2111025509279782</v>
      </c>
      <c r="L83" s="3"/>
    </row>
    <row r="84" spans="1:12" x14ac:dyDescent="0.3">
      <c r="A84" s="3">
        <v>1</v>
      </c>
      <c r="B84" s="3">
        <v>8</v>
      </c>
      <c r="C84" s="3">
        <v>406.77</v>
      </c>
      <c r="D84" s="3">
        <v>0.4</v>
      </c>
      <c r="E84" s="3">
        <v>2</v>
      </c>
      <c r="F84" s="3"/>
      <c r="G84" s="3"/>
      <c r="H84" s="3">
        <v>0</v>
      </c>
      <c r="I84" s="3">
        <v>3</v>
      </c>
      <c r="J84" s="3">
        <v>39.53</v>
      </c>
      <c r="K84" s="3">
        <f t="shared" si="1"/>
        <v>6.2872887638472594</v>
      </c>
      <c r="L84" s="3">
        <v>27830</v>
      </c>
    </row>
    <row r="85" spans="1:12" x14ac:dyDescent="0.3">
      <c r="A85" s="3">
        <v>1</v>
      </c>
      <c r="B85" s="3">
        <v>8</v>
      </c>
      <c r="C85" s="3">
        <v>406.77</v>
      </c>
      <c r="D85" s="3">
        <v>0.4</v>
      </c>
      <c r="E85" s="3">
        <v>3</v>
      </c>
      <c r="F85" s="3">
        <v>10</v>
      </c>
      <c r="G85" s="3">
        <v>5</v>
      </c>
      <c r="H85" s="3">
        <v>1</v>
      </c>
      <c r="I85" s="3">
        <v>3</v>
      </c>
      <c r="J85" s="3">
        <v>50.98</v>
      </c>
      <c r="K85" s="3">
        <f t="shared" si="1"/>
        <v>7.1400280111495356</v>
      </c>
      <c r="L85" s="3">
        <v>29870</v>
      </c>
    </row>
    <row r="86" spans="1:12" x14ac:dyDescent="0.3">
      <c r="A86" s="3">
        <v>1</v>
      </c>
      <c r="B86" s="3">
        <v>8</v>
      </c>
      <c r="C86" s="3">
        <v>406.77</v>
      </c>
      <c r="D86" s="3">
        <v>0.4</v>
      </c>
      <c r="E86" s="3">
        <v>3</v>
      </c>
      <c r="F86" s="3">
        <v>10</v>
      </c>
      <c r="G86" s="3">
        <v>5</v>
      </c>
      <c r="H86" s="3">
        <v>2</v>
      </c>
      <c r="I86" s="3">
        <v>3</v>
      </c>
      <c r="J86" s="3">
        <v>53.76</v>
      </c>
      <c r="K86" s="3">
        <f t="shared" si="1"/>
        <v>7.3321211119293439</v>
      </c>
      <c r="L86" s="3">
        <v>30440</v>
      </c>
    </row>
    <row r="87" spans="1:12" x14ac:dyDescent="0.3">
      <c r="A87" s="3">
        <v>1</v>
      </c>
      <c r="B87" s="3">
        <v>8</v>
      </c>
      <c r="C87" s="3">
        <v>406.77</v>
      </c>
      <c r="D87" s="3">
        <v>0.4</v>
      </c>
      <c r="E87" s="3">
        <v>3</v>
      </c>
      <c r="F87" s="3">
        <v>10</v>
      </c>
      <c r="G87" s="3">
        <v>5</v>
      </c>
      <c r="H87" s="3">
        <v>3</v>
      </c>
      <c r="I87" s="3">
        <v>3</v>
      </c>
      <c r="J87" s="3">
        <v>56.22</v>
      </c>
      <c r="K87" s="3">
        <f t="shared" si="1"/>
        <v>7.4979997332621986</v>
      </c>
      <c r="L87" s="3">
        <v>33390</v>
      </c>
    </row>
    <row r="88" spans="1:12" x14ac:dyDescent="0.3">
      <c r="A88" s="3">
        <v>1</v>
      </c>
      <c r="B88" s="3">
        <v>8</v>
      </c>
      <c r="C88" s="3">
        <v>406.77</v>
      </c>
      <c r="D88" s="3">
        <v>0.4</v>
      </c>
      <c r="E88" s="3">
        <v>3</v>
      </c>
      <c r="F88" s="3">
        <v>10</v>
      </c>
      <c r="G88" s="3">
        <v>5</v>
      </c>
      <c r="H88" s="3">
        <v>4</v>
      </c>
      <c r="I88" s="3">
        <v>3</v>
      </c>
      <c r="J88" s="3">
        <v>52.08</v>
      </c>
      <c r="K88" s="3">
        <f t="shared" si="1"/>
        <v>7.2166474210674858</v>
      </c>
      <c r="L88" s="3">
        <v>31760</v>
      </c>
    </row>
    <row r="89" spans="1:12" x14ac:dyDescent="0.3">
      <c r="A89" s="3">
        <v>3</v>
      </c>
      <c r="B89" s="3">
        <v>1</v>
      </c>
      <c r="C89" s="3">
        <v>550</v>
      </c>
      <c r="D89" s="3">
        <v>0.42</v>
      </c>
      <c r="E89" s="3">
        <v>2</v>
      </c>
      <c r="F89" s="3"/>
      <c r="G89" s="3"/>
      <c r="H89" s="3">
        <v>0</v>
      </c>
      <c r="I89" s="3">
        <v>2</v>
      </c>
      <c r="J89" s="3">
        <v>29</v>
      </c>
      <c r="K89" s="3">
        <f t="shared" si="1"/>
        <v>5.3851648071345037</v>
      </c>
      <c r="L89" s="3"/>
    </row>
    <row r="90" spans="1:12" x14ac:dyDescent="0.3">
      <c r="A90" s="3">
        <v>3</v>
      </c>
      <c r="B90" s="3">
        <v>1</v>
      </c>
      <c r="C90" s="3">
        <v>550</v>
      </c>
      <c r="D90" s="3">
        <v>0.42</v>
      </c>
      <c r="E90" s="3">
        <v>3</v>
      </c>
      <c r="F90" s="3">
        <v>5</v>
      </c>
      <c r="G90" s="3">
        <v>0.84</v>
      </c>
      <c r="H90" s="3">
        <v>1.5E-3</v>
      </c>
      <c r="I90" s="3">
        <v>2</v>
      </c>
      <c r="J90" s="3">
        <v>30</v>
      </c>
      <c r="K90" s="3">
        <f t="shared" si="1"/>
        <v>5.4772255750516612</v>
      </c>
      <c r="L90" s="3"/>
    </row>
    <row r="91" spans="1:12" x14ac:dyDescent="0.3">
      <c r="A91" s="3">
        <v>3</v>
      </c>
      <c r="B91" s="3">
        <v>1</v>
      </c>
      <c r="C91" s="3">
        <v>550</v>
      </c>
      <c r="D91" s="3">
        <v>0.42</v>
      </c>
      <c r="E91" s="3">
        <v>3</v>
      </c>
      <c r="F91" s="3">
        <v>5</v>
      </c>
      <c r="G91" s="3">
        <v>0.84</v>
      </c>
      <c r="H91" s="3">
        <v>3.0000000000000001E-3</v>
      </c>
      <c r="I91" s="3">
        <v>2</v>
      </c>
      <c r="J91" s="3">
        <v>30</v>
      </c>
      <c r="K91" s="3">
        <f t="shared" si="1"/>
        <v>5.4772255750516612</v>
      </c>
      <c r="L91" s="3"/>
    </row>
    <row r="92" spans="1:12" x14ac:dyDescent="0.3">
      <c r="A92" s="3">
        <v>3</v>
      </c>
      <c r="B92" s="3">
        <v>1</v>
      </c>
      <c r="C92" s="3">
        <v>550</v>
      </c>
      <c r="D92" s="3">
        <v>0.42</v>
      </c>
      <c r="E92" s="3">
        <v>3</v>
      </c>
      <c r="F92" s="3">
        <v>5</v>
      </c>
      <c r="G92" s="3">
        <v>0.84</v>
      </c>
      <c r="H92" s="3">
        <v>6.0000000000000001E-3</v>
      </c>
      <c r="I92" s="3">
        <v>2</v>
      </c>
      <c r="J92" s="3">
        <v>31</v>
      </c>
      <c r="K92" s="3">
        <f t="shared" si="1"/>
        <v>5.5677643628300215</v>
      </c>
      <c r="L92" s="3"/>
    </row>
    <row r="93" spans="1:12" x14ac:dyDescent="0.3">
      <c r="A93" s="3">
        <v>3</v>
      </c>
      <c r="B93" s="3">
        <v>1</v>
      </c>
      <c r="C93" s="3">
        <v>550</v>
      </c>
      <c r="D93" s="3">
        <v>0.42</v>
      </c>
      <c r="E93" s="3">
        <v>3</v>
      </c>
      <c r="F93" s="3">
        <v>5</v>
      </c>
      <c r="G93" s="3">
        <v>0.84</v>
      </c>
      <c r="H93" s="3">
        <v>1.2E-2</v>
      </c>
      <c r="I93" s="3">
        <v>2</v>
      </c>
      <c r="J93" s="3">
        <v>32</v>
      </c>
      <c r="K93" s="3">
        <f t="shared" si="1"/>
        <v>5.6568542494923806</v>
      </c>
      <c r="L93" s="3"/>
    </row>
    <row r="94" spans="1:12" x14ac:dyDescent="0.3">
      <c r="A94" s="3">
        <v>2</v>
      </c>
      <c r="B94" s="3">
        <v>1</v>
      </c>
      <c r="C94" s="3">
        <v>1190</v>
      </c>
      <c r="D94" s="3">
        <v>0.5</v>
      </c>
      <c r="E94" s="3">
        <v>2</v>
      </c>
      <c r="F94" s="3"/>
      <c r="G94" s="3"/>
      <c r="H94" s="3">
        <v>0</v>
      </c>
      <c r="I94" s="3">
        <v>6</v>
      </c>
      <c r="J94" s="3">
        <v>53</v>
      </c>
      <c r="K94" s="3">
        <f t="shared" si="1"/>
        <v>7.2801098892805181</v>
      </c>
      <c r="L94" s="4">
        <v>3480</v>
      </c>
    </row>
    <row r="95" spans="1:12" x14ac:dyDescent="0.3">
      <c r="A95" s="3">
        <v>2</v>
      </c>
      <c r="B95" s="3">
        <v>1</v>
      </c>
      <c r="C95" s="3">
        <v>1190</v>
      </c>
      <c r="D95" s="3">
        <v>0.5</v>
      </c>
      <c r="E95" s="3">
        <v>3</v>
      </c>
      <c r="F95" s="3">
        <v>14</v>
      </c>
      <c r="G95" s="3">
        <v>1</v>
      </c>
      <c r="H95" s="3">
        <v>0.05</v>
      </c>
      <c r="I95" s="3">
        <v>6</v>
      </c>
      <c r="J95" s="3">
        <v>44</v>
      </c>
      <c r="K95" s="3">
        <f t="shared" si="1"/>
        <v>6.6332495807107996</v>
      </c>
      <c r="L95" s="4">
        <v>3700</v>
      </c>
    </row>
    <row r="96" spans="1:12" x14ac:dyDescent="0.3">
      <c r="A96" s="3">
        <v>2</v>
      </c>
      <c r="B96" s="3">
        <v>1</v>
      </c>
      <c r="C96" s="3">
        <v>1385</v>
      </c>
      <c r="D96" s="3">
        <v>0.3</v>
      </c>
      <c r="E96" s="3">
        <v>2</v>
      </c>
      <c r="F96" s="3"/>
      <c r="G96" s="3"/>
      <c r="H96" s="3">
        <v>0</v>
      </c>
      <c r="I96" s="3">
        <v>9</v>
      </c>
      <c r="J96" s="3">
        <v>102</v>
      </c>
      <c r="K96" s="3">
        <f t="shared" si="1"/>
        <v>10.099504938362077</v>
      </c>
      <c r="L96" s="3"/>
    </row>
    <row r="97" spans="1:12" x14ac:dyDescent="0.3">
      <c r="A97" s="3">
        <v>2</v>
      </c>
      <c r="B97" s="3">
        <v>1</v>
      </c>
      <c r="C97" s="3">
        <v>1385</v>
      </c>
      <c r="D97" s="3">
        <v>0.3</v>
      </c>
      <c r="E97" s="3">
        <v>3</v>
      </c>
      <c r="F97" s="3"/>
      <c r="G97" s="3">
        <v>0.7</v>
      </c>
      <c r="H97" s="3">
        <v>0.05</v>
      </c>
      <c r="I97" s="3">
        <v>9</v>
      </c>
      <c r="J97" s="3">
        <v>138</v>
      </c>
      <c r="K97" s="3">
        <f t="shared" si="1"/>
        <v>11.74734012447073</v>
      </c>
      <c r="L97" s="3"/>
    </row>
    <row r="98" spans="1:12" x14ac:dyDescent="0.3">
      <c r="A98" s="3">
        <v>3</v>
      </c>
      <c r="B98" s="3">
        <v>1</v>
      </c>
      <c r="C98" s="3">
        <v>880</v>
      </c>
      <c r="D98" s="3">
        <v>0.45</v>
      </c>
      <c r="E98" s="3">
        <v>2</v>
      </c>
      <c r="F98" s="3"/>
      <c r="G98" s="3"/>
      <c r="H98" s="3">
        <v>0</v>
      </c>
      <c r="I98" s="3">
        <v>6</v>
      </c>
      <c r="J98" s="3">
        <v>33.9</v>
      </c>
      <c r="K98" s="3">
        <f t="shared" si="1"/>
        <v>5.8223706512038547</v>
      </c>
      <c r="L98" s="3"/>
    </row>
    <row r="99" spans="1:12" x14ac:dyDescent="0.3">
      <c r="A99" s="3">
        <v>3</v>
      </c>
      <c r="B99" s="3">
        <v>1</v>
      </c>
      <c r="C99" s="3">
        <v>880</v>
      </c>
      <c r="D99" s="3">
        <v>0.45</v>
      </c>
      <c r="E99" s="3">
        <v>3</v>
      </c>
      <c r="F99" s="3"/>
      <c r="G99" s="3">
        <v>0.86</v>
      </c>
      <c r="H99" s="3">
        <v>0.01</v>
      </c>
      <c r="I99" s="3">
        <v>6</v>
      </c>
      <c r="J99" s="3">
        <v>41.75</v>
      </c>
      <c r="K99" s="3">
        <f t="shared" si="1"/>
        <v>6.4614239916600429</v>
      </c>
      <c r="L99" s="3"/>
    </row>
    <row r="100" spans="1:12" x14ac:dyDescent="0.3">
      <c r="A100" s="3">
        <v>3</v>
      </c>
      <c r="B100" s="3">
        <v>1</v>
      </c>
      <c r="C100" s="3">
        <v>880</v>
      </c>
      <c r="D100" s="3">
        <v>0.45</v>
      </c>
      <c r="E100" s="3">
        <v>3</v>
      </c>
      <c r="F100" s="3"/>
      <c r="G100" s="3">
        <v>0.86</v>
      </c>
      <c r="H100" s="3">
        <v>0.03</v>
      </c>
      <c r="I100" s="3">
        <v>6</v>
      </c>
      <c r="J100" s="3">
        <v>50.25</v>
      </c>
      <c r="K100" s="3">
        <f t="shared" si="1"/>
        <v>7.0887234393789127</v>
      </c>
      <c r="L100" s="3"/>
    </row>
    <row r="101" spans="1:12" x14ac:dyDescent="0.3">
      <c r="A101" s="3">
        <v>3</v>
      </c>
      <c r="B101" s="3">
        <v>1</v>
      </c>
      <c r="C101" s="3">
        <v>880</v>
      </c>
      <c r="D101" s="3">
        <v>0.45</v>
      </c>
      <c r="E101" s="3">
        <v>3</v>
      </c>
      <c r="F101" s="3"/>
      <c r="G101" s="3">
        <v>0.86</v>
      </c>
      <c r="H101" s="3">
        <v>0.05</v>
      </c>
      <c r="I101" s="3">
        <v>6</v>
      </c>
      <c r="J101" s="3">
        <v>53.35</v>
      </c>
      <c r="K101" s="3">
        <f t="shared" si="1"/>
        <v>7.3041084329300592</v>
      </c>
      <c r="L101" s="3"/>
    </row>
    <row r="102" spans="1:12" x14ac:dyDescent="0.3">
      <c r="A102" s="3">
        <v>2</v>
      </c>
      <c r="B102" s="3">
        <v>9</v>
      </c>
      <c r="C102" s="3">
        <v>1250</v>
      </c>
      <c r="D102" s="3">
        <v>0.6</v>
      </c>
      <c r="E102" s="3">
        <v>2</v>
      </c>
      <c r="F102" s="3"/>
      <c r="G102" s="3"/>
      <c r="H102" s="3">
        <v>0</v>
      </c>
      <c r="I102" s="3">
        <v>9</v>
      </c>
      <c r="J102" s="3">
        <v>37</v>
      </c>
      <c r="K102" s="3">
        <f t="shared" si="1"/>
        <v>6.0827625302982193</v>
      </c>
      <c r="L102" s="3"/>
    </row>
    <row r="103" spans="1:12" x14ac:dyDescent="0.3">
      <c r="A103" s="3">
        <v>2</v>
      </c>
      <c r="B103" s="3">
        <v>9</v>
      </c>
      <c r="C103" s="3">
        <v>1250</v>
      </c>
      <c r="D103" s="3">
        <v>0.6</v>
      </c>
      <c r="E103" s="3">
        <v>3</v>
      </c>
      <c r="F103" s="3">
        <v>50</v>
      </c>
      <c r="G103" s="3">
        <v>1</v>
      </c>
      <c r="H103" s="3">
        <v>0.04</v>
      </c>
      <c r="I103" s="3">
        <v>9</v>
      </c>
      <c r="J103" s="3">
        <v>40</v>
      </c>
      <c r="K103" s="3">
        <f t="shared" si="1"/>
        <v>6.324555320336759</v>
      </c>
      <c r="L103" s="3"/>
    </row>
    <row r="104" spans="1:12" x14ac:dyDescent="0.3">
      <c r="A104" s="3">
        <v>2</v>
      </c>
      <c r="B104" s="3">
        <v>9</v>
      </c>
      <c r="C104" s="3">
        <v>1250</v>
      </c>
      <c r="D104" s="3">
        <v>0.6</v>
      </c>
      <c r="E104" s="3">
        <v>3</v>
      </c>
      <c r="F104" s="3">
        <v>50</v>
      </c>
      <c r="G104" s="3">
        <v>1</v>
      </c>
      <c r="H104" s="3">
        <v>0.08</v>
      </c>
      <c r="I104" s="3">
        <v>9</v>
      </c>
      <c r="J104" s="3">
        <v>43</v>
      </c>
      <c r="K104" s="3">
        <f t="shared" si="1"/>
        <v>6.5574385243020004</v>
      </c>
      <c r="L104" s="3"/>
    </row>
    <row r="105" spans="1:12" x14ac:dyDescent="0.3">
      <c r="A105" s="3">
        <v>2</v>
      </c>
      <c r="B105" s="3">
        <v>1</v>
      </c>
      <c r="C105" s="3">
        <v>1240</v>
      </c>
      <c r="D105" s="3">
        <v>0.45</v>
      </c>
      <c r="E105" s="3">
        <v>2</v>
      </c>
      <c r="F105" s="3"/>
      <c r="G105" s="3"/>
      <c r="H105" s="3">
        <v>0</v>
      </c>
      <c r="I105" s="3">
        <v>6</v>
      </c>
      <c r="J105" s="3">
        <v>22.5</v>
      </c>
      <c r="K105" s="3">
        <f t="shared" si="1"/>
        <v>4.7434164902525691</v>
      </c>
      <c r="L105" s="3"/>
    </row>
    <row r="106" spans="1:12" x14ac:dyDescent="0.3">
      <c r="A106" s="3">
        <v>2</v>
      </c>
      <c r="B106" s="3">
        <v>1</v>
      </c>
      <c r="C106" s="3">
        <v>1240</v>
      </c>
      <c r="D106" s="3">
        <v>0.45</v>
      </c>
      <c r="E106" s="3">
        <v>3</v>
      </c>
      <c r="F106" s="3"/>
      <c r="G106" s="3"/>
      <c r="H106" s="3">
        <v>0.1</v>
      </c>
      <c r="I106" s="3">
        <v>6</v>
      </c>
      <c r="J106" s="3">
        <v>22</v>
      </c>
      <c r="K106" s="3">
        <f t="shared" si="1"/>
        <v>4.6904157598234297</v>
      </c>
      <c r="L106" s="3"/>
    </row>
    <row r="107" spans="1:12" x14ac:dyDescent="0.3">
      <c r="A107" s="3">
        <v>2</v>
      </c>
      <c r="B107" s="3">
        <v>1</v>
      </c>
      <c r="C107" s="3">
        <v>1240</v>
      </c>
      <c r="D107" s="3">
        <v>0.45</v>
      </c>
      <c r="E107" s="3">
        <v>3</v>
      </c>
      <c r="F107" s="3"/>
      <c r="G107" s="3"/>
      <c r="H107" s="3">
        <v>0.1</v>
      </c>
      <c r="I107" s="3">
        <v>6</v>
      </c>
      <c r="J107" s="3">
        <v>22</v>
      </c>
      <c r="K107" s="3">
        <f t="shared" si="1"/>
        <v>4.6904157598234297</v>
      </c>
      <c r="L107" s="3"/>
    </row>
    <row r="108" spans="1:12" x14ac:dyDescent="0.3">
      <c r="A108" s="3">
        <v>1</v>
      </c>
      <c r="B108" s="3">
        <v>1</v>
      </c>
      <c r="C108" s="3">
        <v>336</v>
      </c>
      <c r="D108" s="3"/>
      <c r="E108" s="3">
        <v>2</v>
      </c>
      <c r="F108" s="3"/>
      <c r="G108" s="3"/>
      <c r="H108" s="3">
        <v>0</v>
      </c>
      <c r="I108" s="3">
        <v>2</v>
      </c>
      <c r="J108" s="3">
        <v>42</v>
      </c>
      <c r="K108" s="3">
        <f t="shared" si="1"/>
        <v>6.4807406984078604</v>
      </c>
      <c r="L108" s="3"/>
    </row>
    <row r="109" spans="1:12" x14ac:dyDescent="0.3">
      <c r="A109" s="3">
        <v>1</v>
      </c>
      <c r="B109" s="3">
        <v>1</v>
      </c>
      <c r="C109" s="3">
        <v>336</v>
      </c>
      <c r="D109" s="3">
        <v>0.5</v>
      </c>
      <c r="E109" s="3">
        <v>3</v>
      </c>
      <c r="F109" s="3">
        <v>10</v>
      </c>
      <c r="G109" s="3">
        <v>1.5</v>
      </c>
      <c r="H109" s="3">
        <v>0.02</v>
      </c>
      <c r="I109" s="3">
        <v>2</v>
      </c>
      <c r="J109" s="3">
        <v>45</v>
      </c>
      <c r="K109" s="3">
        <f t="shared" si="1"/>
        <v>6.7082039324993694</v>
      </c>
      <c r="L109" s="3"/>
    </row>
    <row r="110" spans="1:12" x14ac:dyDescent="0.3">
      <c r="A110" s="3">
        <v>1</v>
      </c>
      <c r="B110" s="3">
        <v>1</v>
      </c>
      <c r="C110" s="3">
        <v>336</v>
      </c>
      <c r="D110" s="3">
        <v>0.5</v>
      </c>
      <c r="E110" s="3">
        <v>3</v>
      </c>
      <c r="F110" s="3">
        <v>10</v>
      </c>
      <c r="G110" s="3">
        <v>1.5</v>
      </c>
      <c r="H110" s="3">
        <v>0.03</v>
      </c>
      <c r="I110" s="3">
        <v>2</v>
      </c>
      <c r="J110" s="3">
        <v>45.5</v>
      </c>
      <c r="K110" s="3">
        <f t="shared" si="1"/>
        <v>6.7453687816160208</v>
      </c>
      <c r="L110" s="3"/>
    </row>
    <row r="111" spans="1:12" x14ac:dyDescent="0.3">
      <c r="A111" s="3">
        <v>1</v>
      </c>
      <c r="B111" s="3">
        <v>1</v>
      </c>
      <c r="C111" s="3">
        <v>336</v>
      </c>
      <c r="D111" s="3">
        <v>0.5</v>
      </c>
      <c r="E111" s="3">
        <v>3</v>
      </c>
      <c r="F111" s="3">
        <v>10</v>
      </c>
      <c r="G111" s="3">
        <v>1.5</v>
      </c>
      <c r="H111" s="3">
        <v>0.04</v>
      </c>
      <c r="I111" s="3">
        <v>2</v>
      </c>
      <c r="J111" s="3">
        <v>48</v>
      </c>
      <c r="K111" s="3">
        <f t="shared" si="1"/>
        <v>6.9282032302755088</v>
      </c>
      <c r="L111" s="3"/>
    </row>
    <row r="112" spans="1:12" x14ac:dyDescent="0.3">
      <c r="A112" s="3">
        <v>1</v>
      </c>
      <c r="B112" s="3">
        <v>1</v>
      </c>
      <c r="C112" s="3">
        <v>336</v>
      </c>
      <c r="D112" s="3">
        <v>0.5</v>
      </c>
      <c r="E112" s="3">
        <v>3</v>
      </c>
      <c r="F112" s="3">
        <v>10</v>
      </c>
      <c r="G112" s="3">
        <v>1.5</v>
      </c>
      <c r="H112" s="3">
        <v>0.06</v>
      </c>
      <c r="I112" s="3">
        <v>2</v>
      </c>
      <c r="J112" s="3">
        <v>51</v>
      </c>
      <c r="K112" s="3">
        <f t="shared" si="1"/>
        <v>7.1414284285428504</v>
      </c>
      <c r="L112" s="3"/>
    </row>
    <row r="113" spans="1:12" x14ac:dyDescent="0.3">
      <c r="A113" s="3">
        <v>1</v>
      </c>
      <c r="B113" s="3">
        <v>1</v>
      </c>
      <c r="C113" s="3">
        <v>336</v>
      </c>
      <c r="D113" s="3">
        <v>0.5</v>
      </c>
      <c r="E113" s="3">
        <v>3</v>
      </c>
      <c r="F113" s="3">
        <v>10</v>
      </c>
      <c r="G113" s="3">
        <v>1.5</v>
      </c>
      <c r="H113" s="3">
        <v>0.08</v>
      </c>
      <c r="I113" s="3">
        <v>2</v>
      </c>
      <c r="J113" s="3">
        <v>54</v>
      </c>
      <c r="K113" s="3">
        <f t="shared" si="1"/>
        <v>7.3484692283495345</v>
      </c>
      <c r="L113" s="3"/>
    </row>
    <row r="114" spans="1:12" x14ac:dyDescent="0.3">
      <c r="A114" s="3">
        <v>1</v>
      </c>
      <c r="B114" s="3">
        <v>8</v>
      </c>
      <c r="C114" s="3">
        <v>417.44</v>
      </c>
      <c r="D114" s="3">
        <v>0.39</v>
      </c>
      <c r="E114" s="3">
        <v>2</v>
      </c>
      <c r="F114" s="3"/>
      <c r="G114" s="3"/>
      <c r="H114" s="3">
        <v>0</v>
      </c>
      <c r="I114" s="3">
        <v>6</v>
      </c>
      <c r="J114" s="3">
        <v>28.8</v>
      </c>
      <c r="K114" s="3">
        <f t="shared" si="1"/>
        <v>5.3665631459994954</v>
      </c>
      <c r="L114" s="3">
        <v>40120</v>
      </c>
    </row>
    <row r="115" spans="1:12" x14ac:dyDescent="0.3">
      <c r="A115" s="3">
        <v>1</v>
      </c>
      <c r="B115" s="3">
        <v>8</v>
      </c>
      <c r="C115" s="3">
        <v>417.44</v>
      </c>
      <c r="D115" s="3">
        <v>0.39</v>
      </c>
      <c r="E115" s="3">
        <v>3</v>
      </c>
      <c r="F115" s="3">
        <v>10</v>
      </c>
      <c r="G115" s="3">
        <v>0.78</v>
      </c>
      <c r="H115" s="3">
        <v>0.05</v>
      </c>
      <c r="I115" s="3">
        <v>6</v>
      </c>
      <c r="J115" s="3">
        <v>38.9</v>
      </c>
      <c r="K115" s="3">
        <f t="shared" si="1"/>
        <v>6.2369864518050697</v>
      </c>
      <c r="L115" s="3">
        <v>51040</v>
      </c>
    </row>
    <row r="116" spans="1:12" x14ac:dyDescent="0.3">
      <c r="A116" s="3">
        <v>1</v>
      </c>
      <c r="B116" s="3">
        <v>8</v>
      </c>
      <c r="C116" s="3">
        <v>417.44</v>
      </c>
      <c r="D116" s="3">
        <v>0.39</v>
      </c>
      <c r="E116" s="3">
        <v>3</v>
      </c>
      <c r="F116" s="3">
        <v>10</v>
      </c>
      <c r="G116" s="3">
        <v>0.78</v>
      </c>
      <c r="H116" s="3">
        <v>0.15</v>
      </c>
      <c r="I116" s="3">
        <v>6</v>
      </c>
      <c r="J116" s="3">
        <v>40.200000000000003</v>
      </c>
      <c r="K116" s="3">
        <f t="shared" si="1"/>
        <v>6.3403469936589438</v>
      </c>
      <c r="L116" s="3">
        <v>53840</v>
      </c>
    </row>
    <row r="117" spans="1:12" x14ac:dyDescent="0.3">
      <c r="A117" s="3">
        <v>1</v>
      </c>
      <c r="B117" s="3">
        <v>8</v>
      </c>
      <c r="C117" s="3">
        <v>417.44</v>
      </c>
      <c r="D117" s="3">
        <v>0.39</v>
      </c>
      <c r="E117" s="3">
        <v>3</v>
      </c>
      <c r="F117" s="3">
        <v>10</v>
      </c>
      <c r="G117" s="3">
        <v>0.78</v>
      </c>
      <c r="H117" s="3">
        <v>0.25</v>
      </c>
      <c r="I117" s="3">
        <v>6</v>
      </c>
      <c r="J117" s="3">
        <v>43.9</v>
      </c>
      <c r="K117" s="3">
        <f t="shared" si="1"/>
        <v>6.6257075093909785</v>
      </c>
      <c r="L117" s="3">
        <v>56740</v>
      </c>
    </row>
    <row r="118" spans="1:12" x14ac:dyDescent="0.3">
      <c r="A118" s="3">
        <v>1</v>
      </c>
      <c r="B118" s="3">
        <v>8</v>
      </c>
      <c r="C118" s="3">
        <v>417.44</v>
      </c>
      <c r="D118" s="3">
        <v>0.39</v>
      </c>
      <c r="E118" s="3">
        <v>3</v>
      </c>
      <c r="F118" s="3">
        <v>10</v>
      </c>
      <c r="G118" s="3">
        <v>0.78</v>
      </c>
      <c r="H118" s="3">
        <v>0.35</v>
      </c>
      <c r="I118" s="3">
        <v>6</v>
      </c>
      <c r="J118" s="3">
        <v>40.299999999999997</v>
      </c>
      <c r="K118" s="3">
        <f t="shared" si="1"/>
        <v>6.3482280992415507</v>
      </c>
      <c r="L118" s="3">
        <v>52460</v>
      </c>
    </row>
    <row r="119" spans="1:12" x14ac:dyDescent="0.3">
      <c r="A119" s="3">
        <v>1</v>
      </c>
      <c r="B119" s="3">
        <v>8</v>
      </c>
      <c r="C119" s="3">
        <v>417.44</v>
      </c>
      <c r="D119" s="3">
        <v>0.39</v>
      </c>
      <c r="E119" s="3">
        <v>2</v>
      </c>
      <c r="F119" s="3"/>
      <c r="G119" s="3"/>
      <c r="H119" s="3">
        <v>0</v>
      </c>
      <c r="I119" s="3">
        <v>6</v>
      </c>
      <c r="J119" s="3">
        <v>30.5</v>
      </c>
      <c r="K119" s="3">
        <f t="shared" si="1"/>
        <v>5.5226805085936306</v>
      </c>
      <c r="L119" s="3">
        <v>42630</v>
      </c>
    </row>
    <row r="120" spans="1:12" x14ac:dyDescent="0.3">
      <c r="A120" s="3">
        <v>1</v>
      </c>
      <c r="B120" s="3">
        <v>8</v>
      </c>
      <c r="C120" s="3">
        <v>417.44</v>
      </c>
      <c r="D120" s="3">
        <v>0.39</v>
      </c>
      <c r="E120" s="3">
        <v>3</v>
      </c>
      <c r="F120" s="3">
        <v>10</v>
      </c>
      <c r="G120" s="3">
        <v>0.78</v>
      </c>
      <c r="H120" s="3">
        <v>0.05</v>
      </c>
      <c r="I120" s="3">
        <v>6</v>
      </c>
      <c r="J120" s="3">
        <v>39.5</v>
      </c>
      <c r="K120" s="3">
        <f t="shared" si="1"/>
        <v>6.2849025449882676</v>
      </c>
      <c r="L120" s="3">
        <v>54920</v>
      </c>
    </row>
    <row r="121" spans="1:12" x14ac:dyDescent="0.3">
      <c r="A121" s="3">
        <v>1</v>
      </c>
      <c r="B121" s="3">
        <v>8</v>
      </c>
      <c r="C121" s="3">
        <v>417.44</v>
      </c>
      <c r="D121" s="3">
        <v>0.39</v>
      </c>
      <c r="E121" s="3">
        <v>3</v>
      </c>
      <c r="F121" s="3">
        <v>10</v>
      </c>
      <c r="G121" s="3">
        <v>0.78</v>
      </c>
      <c r="H121" s="3">
        <v>0.15</v>
      </c>
      <c r="I121" s="3">
        <v>6</v>
      </c>
      <c r="J121" s="3">
        <v>44.5</v>
      </c>
      <c r="K121" s="3">
        <f t="shared" si="1"/>
        <v>6.6708320320631671</v>
      </c>
      <c r="L121" s="3">
        <v>56740</v>
      </c>
    </row>
    <row r="122" spans="1:12" x14ac:dyDescent="0.3">
      <c r="A122" s="3">
        <v>1</v>
      </c>
      <c r="B122" s="3">
        <v>8</v>
      </c>
      <c r="C122" s="3">
        <v>417.44</v>
      </c>
      <c r="D122" s="3">
        <v>0.39</v>
      </c>
      <c r="E122" s="3">
        <v>3</v>
      </c>
      <c r="F122" s="3">
        <v>10</v>
      </c>
      <c r="G122" s="3">
        <v>0.78</v>
      </c>
      <c r="H122" s="3">
        <v>0.25</v>
      </c>
      <c r="I122" s="3">
        <v>6</v>
      </c>
      <c r="J122" s="3">
        <v>47.2</v>
      </c>
      <c r="K122" s="3">
        <f t="shared" si="1"/>
        <v>6.8702256149270671</v>
      </c>
      <c r="L122" s="3">
        <v>58740</v>
      </c>
    </row>
    <row r="123" spans="1:12" x14ac:dyDescent="0.3">
      <c r="A123" s="3">
        <v>1</v>
      </c>
      <c r="B123" s="3">
        <v>8</v>
      </c>
      <c r="C123" s="3">
        <v>417.44</v>
      </c>
      <c r="D123" s="3">
        <v>0.39</v>
      </c>
      <c r="E123" s="3">
        <v>3</v>
      </c>
      <c r="F123" s="3">
        <v>10</v>
      </c>
      <c r="G123" s="3">
        <v>0.78</v>
      </c>
      <c r="H123" s="3">
        <v>0.35</v>
      </c>
      <c r="I123" s="3">
        <v>6</v>
      </c>
      <c r="J123" s="3">
        <v>43.7</v>
      </c>
      <c r="K123" s="3">
        <f t="shared" si="1"/>
        <v>6.6105975524153644</v>
      </c>
      <c r="L123" s="3">
        <v>56310</v>
      </c>
    </row>
    <row r="124" spans="1:12" x14ac:dyDescent="0.3">
      <c r="A124" s="3">
        <v>1</v>
      </c>
      <c r="B124" s="3">
        <v>8</v>
      </c>
      <c r="C124" s="3">
        <v>417.44</v>
      </c>
      <c r="D124" s="3">
        <v>0.39</v>
      </c>
      <c r="E124" s="3">
        <v>2</v>
      </c>
      <c r="F124" s="3"/>
      <c r="G124" s="3"/>
      <c r="H124" s="3">
        <v>0</v>
      </c>
      <c r="I124" s="3">
        <v>6</v>
      </c>
      <c r="J124" s="3">
        <v>34.799999999999997</v>
      </c>
      <c r="K124" s="3">
        <f t="shared" si="1"/>
        <v>5.8991524815010496</v>
      </c>
      <c r="L124" s="3">
        <v>46530</v>
      </c>
    </row>
    <row r="125" spans="1:12" x14ac:dyDescent="0.3">
      <c r="A125" s="3">
        <v>1</v>
      </c>
      <c r="B125" s="3">
        <v>8</v>
      </c>
      <c r="C125" s="3">
        <v>417.44</v>
      </c>
      <c r="D125" s="3">
        <v>0.39</v>
      </c>
      <c r="E125" s="3">
        <v>3</v>
      </c>
      <c r="F125" s="3">
        <v>10</v>
      </c>
      <c r="G125" s="3">
        <v>0.78</v>
      </c>
      <c r="H125" s="3">
        <v>0.05</v>
      </c>
      <c r="I125" s="3">
        <v>6</v>
      </c>
      <c r="J125" s="3">
        <v>44.1</v>
      </c>
      <c r="K125" s="3">
        <f t="shared" si="1"/>
        <v>6.640783086353597</v>
      </c>
      <c r="L125" s="3">
        <v>59370</v>
      </c>
    </row>
    <row r="126" spans="1:12" x14ac:dyDescent="0.3">
      <c r="A126" s="3">
        <v>1</v>
      </c>
      <c r="B126" s="3">
        <v>8</v>
      </c>
      <c r="C126" s="3">
        <v>417.44</v>
      </c>
      <c r="D126" s="3">
        <v>0.39</v>
      </c>
      <c r="E126" s="3">
        <v>3</v>
      </c>
      <c r="F126" s="3">
        <v>10</v>
      </c>
      <c r="G126" s="3">
        <v>0.78</v>
      </c>
      <c r="H126" s="3">
        <v>0.15</v>
      </c>
      <c r="I126" s="3">
        <v>6</v>
      </c>
      <c r="J126" s="3">
        <v>47.5</v>
      </c>
      <c r="K126" s="3">
        <f t="shared" si="1"/>
        <v>6.8920243760451108</v>
      </c>
      <c r="L126" s="3">
        <v>61620</v>
      </c>
    </row>
    <row r="127" spans="1:12" x14ac:dyDescent="0.3">
      <c r="A127" s="3">
        <v>1</v>
      </c>
      <c r="B127" s="3">
        <v>8</v>
      </c>
      <c r="C127" s="3">
        <v>417.44</v>
      </c>
      <c r="D127" s="3">
        <v>0.39</v>
      </c>
      <c r="E127" s="3">
        <v>3</v>
      </c>
      <c r="F127" s="3">
        <v>10</v>
      </c>
      <c r="G127" s="3">
        <v>0.78</v>
      </c>
      <c r="H127" s="3">
        <v>0.25</v>
      </c>
      <c r="I127" s="3">
        <v>6</v>
      </c>
      <c r="J127" s="3">
        <v>50.4</v>
      </c>
      <c r="K127" s="3">
        <f t="shared" si="1"/>
        <v>7.0992957397195395</v>
      </c>
      <c r="L127" s="3">
        <v>64269.999999999993</v>
      </c>
    </row>
    <row r="128" spans="1:12" x14ac:dyDescent="0.3">
      <c r="A128" s="3">
        <v>1</v>
      </c>
      <c r="B128" s="3">
        <v>8</v>
      </c>
      <c r="C128" s="3">
        <v>417.44</v>
      </c>
      <c r="D128" s="3">
        <v>0.39</v>
      </c>
      <c r="E128" s="3">
        <v>3</v>
      </c>
      <c r="F128" s="3">
        <v>10</v>
      </c>
      <c r="G128" s="3">
        <v>0.78</v>
      </c>
      <c r="H128" s="3">
        <v>0.35</v>
      </c>
      <c r="I128" s="3">
        <v>6</v>
      </c>
      <c r="J128" s="3">
        <v>46.8</v>
      </c>
      <c r="K128" s="3">
        <f t="shared" si="1"/>
        <v>6.8410525505948279</v>
      </c>
      <c r="L128" s="3">
        <v>62610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8fe1c0a-19f5-4f24-a662-fdd5dd460025}" enabled="0" method="" siteId="{08fe1c0a-19f5-4f24-a662-fdd5dd4600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100063733</dc:creator>
  <cp:lastModifiedBy>Mohammad Abdel Hadi Khaled  Zuaiter</cp:lastModifiedBy>
  <dcterms:created xsi:type="dcterms:W3CDTF">2025-12-21T18:06:46Z</dcterms:created>
  <dcterms:modified xsi:type="dcterms:W3CDTF">2026-02-21T13:05:22Z</dcterms:modified>
</cp:coreProperties>
</file>